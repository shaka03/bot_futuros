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hon Fernando Tascón\Desktop\Jhon\Maestría\DATOS PROYECTO INTEGRADOR\"/>
    </mc:Choice>
  </mc:AlternateContent>
  <xr:revisionPtr revIDLastSave="0" documentId="13_ncr:1_{54EBA780-9745-4D41-9ED4-4DEE4229E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Órdenes_Mixta" sheetId="5" r:id="rId1"/>
    <sheet name="Hoja3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5" l="1"/>
  <c r="J46" i="5"/>
  <c r="J45" i="5"/>
  <c r="J44" i="5"/>
  <c r="J43" i="5"/>
  <c r="J42" i="5"/>
  <c r="J41" i="5"/>
  <c r="I40" i="5"/>
  <c r="J40" i="5"/>
  <c r="I39" i="5"/>
  <c r="J3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A35" i="5"/>
  <c r="A37" i="5" s="1"/>
  <c r="A36" i="5"/>
  <c r="A38" i="5" s="1"/>
  <c r="A32" i="5" l="1"/>
</calcChain>
</file>

<file path=xl/sharedStrings.xml><?xml version="1.0" encoding="utf-8"?>
<sst xmlns="http://schemas.openxmlformats.org/spreadsheetml/2006/main" count="143" uniqueCount="60">
  <si>
    <t>FECHA</t>
  </si>
  <si>
    <t>MEJOR PRECIO DE COMPRA (BID)</t>
  </si>
  <si>
    <t>MEJOR PRECIO DE VENTA (OFFER)</t>
  </si>
  <si>
    <t>NEMOTÉCNICOS</t>
  </si>
  <si>
    <t>CONTRATOS</t>
  </si>
  <si>
    <t>CANTIDAD DE ENERGÍA EN COMPRA POR MES (kWh)</t>
  </si>
  <si>
    <t>CANTIDAD DE ENERGÍA EN VENTA POR MES (kWh)</t>
  </si>
  <si>
    <t>Abr-Jun 2023</t>
  </si>
  <si>
    <t>ELMJ23F-ELMM23F</t>
  </si>
  <si>
    <t>Jun-Sep 2025</t>
  </si>
  <si>
    <t>ELMM25F-ELMU25F</t>
  </si>
  <si>
    <t>Jun-Nov 2025</t>
  </si>
  <si>
    <t>ELMM25F-ELMX25F</t>
  </si>
  <si>
    <t>MES</t>
  </si>
  <si>
    <t>NEMO</t>
  </si>
  <si>
    <t>F</t>
  </si>
  <si>
    <t>ENERO</t>
  </si>
  <si>
    <t>enero</t>
  </si>
  <si>
    <t>G</t>
  </si>
  <si>
    <t>FEBRERO</t>
  </si>
  <si>
    <t>febrero</t>
  </si>
  <si>
    <t>H</t>
  </si>
  <si>
    <t>MARZO</t>
  </si>
  <si>
    <t>marzo</t>
  </si>
  <si>
    <t>J</t>
  </si>
  <si>
    <t>ABRIL</t>
  </si>
  <si>
    <t>abril</t>
  </si>
  <si>
    <t>K</t>
  </si>
  <si>
    <t>MAYO</t>
  </si>
  <si>
    <t>mayo</t>
  </si>
  <si>
    <t>M</t>
  </si>
  <si>
    <t>JUNIO</t>
  </si>
  <si>
    <t>junio</t>
  </si>
  <si>
    <t>N</t>
  </si>
  <si>
    <t>JULIO</t>
  </si>
  <si>
    <t>julio</t>
  </si>
  <si>
    <t>Q</t>
  </si>
  <si>
    <t>AGOSTO</t>
  </si>
  <si>
    <t>agosto</t>
  </si>
  <si>
    <t>U</t>
  </si>
  <si>
    <t>SEPTIEMBRE</t>
  </si>
  <si>
    <t>septiembre</t>
  </si>
  <si>
    <t>V</t>
  </si>
  <si>
    <t>OCTUBRE</t>
  </si>
  <si>
    <t>octubre</t>
  </si>
  <si>
    <t>X</t>
  </si>
  <si>
    <t>NOVIEMBRE</t>
  </si>
  <si>
    <t>noviembre</t>
  </si>
  <si>
    <t>Z</t>
  </si>
  <si>
    <t>DICIEMBRE</t>
  </si>
  <si>
    <t>diciembre</t>
  </si>
  <si>
    <t>.</t>
  </si>
  <si>
    <t>TOTAL CANTIDAD DE ENERGÍA EXPUESTA EN COMPRA(KWh)</t>
  </si>
  <si>
    <t>TOTAL CANTIDAD DE ENERGÍA EXPUESTA EN VENTA (KWh)</t>
  </si>
  <si>
    <t>Jun-Dic 2025</t>
  </si>
  <si>
    <t>ELMN25F-ELMZ25F</t>
  </si>
  <si>
    <t>Ago-Dic 2025</t>
  </si>
  <si>
    <t>ELMQ25F-ELMZ25F</t>
  </si>
  <si>
    <t>ELMU25F, ELMX25F, ELMZ25F</t>
  </si>
  <si>
    <t>sep,nov,dic/25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</si>
</sst>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-* #,##0\ _€_-;\-* #,##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7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2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1" applyNumberFormat="0" applyAlignment="0" applyProtection="0"/>
    <xf numFmtId="0" fontId="6" fillId="22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0" fillId="29" borderId="1" applyNumberFormat="0" applyAlignment="0" applyProtection="0"/>
    <xf numFmtId="0" fontId="11" fillId="30" borderId="0" applyNumberFormat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3" fillId="31" borderId="0" applyNumberFormat="0" applyBorder="0" applyAlignment="0" applyProtection="0"/>
    <xf numFmtId="0" fontId="1" fillId="0" borderId="0"/>
    <xf numFmtId="0" fontId="2" fillId="32" borderId="5" applyNumberFormat="0" applyFont="0" applyAlignment="0" applyProtection="0"/>
    <xf numFmtId="0" fontId="14" fillId="21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164" fontId="22" fillId="0" borderId="10" xfId="46" applyFont="1" applyBorder="1" applyAlignment="1">
      <alignment horizontal="center" vertical="center" wrapText="1"/>
    </xf>
    <xf numFmtId="165" fontId="22" fillId="0" borderId="10" xfId="45" applyFont="1" applyBorder="1" applyAlignment="1">
      <alignment horizontal="center" vertical="center" wrapText="1"/>
    </xf>
    <xf numFmtId="164" fontId="22" fillId="0" borderId="11" xfId="46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1" fontId="25" fillId="0" borderId="15" xfId="49" applyNumberFormat="1" applyFont="1" applyFill="1" applyBorder="1" applyAlignment="1">
      <alignment horizontal="center" vertical="center" wrapText="1"/>
    </xf>
    <xf numFmtId="2" fontId="25" fillId="0" borderId="12" xfId="49" applyNumberFormat="1" applyFont="1" applyFill="1" applyBorder="1" applyAlignment="1">
      <alignment horizontal="center" vertical="center" wrapText="1"/>
    </xf>
    <xf numFmtId="2" fontId="25" fillId="0" borderId="16" xfId="49" applyNumberFormat="1" applyFont="1" applyFill="1" applyBorder="1" applyAlignment="1">
      <alignment horizontal="center" vertical="center" wrapText="1"/>
    </xf>
    <xf numFmtId="1" fontId="25" fillId="0" borderId="17" xfId="49" applyNumberFormat="1" applyFont="1" applyFill="1" applyBorder="1" applyAlignment="1">
      <alignment horizontal="center" vertical="center" wrapText="1"/>
    </xf>
    <xf numFmtId="2" fontId="25" fillId="0" borderId="18" xfId="49" applyNumberFormat="1" applyFont="1" applyFill="1" applyBorder="1" applyAlignment="1">
      <alignment horizontal="center" vertical="center" wrapText="1"/>
    </xf>
    <xf numFmtId="2" fontId="25" fillId="0" borderId="19" xfId="49" applyNumberFormat="1" applyFont="1" applyFill="1" applyBorder="1" applyAlignment="1">
      <alignment horizontal="center" vertical="center" wrapText="1"/>
    </xf>
    <xf numFmtId="167" fontId="23" fillId="0" borderId="20" xfId="0" applyNumberFormat="1" applyFont="1" applyBorder="1" applyAlignment="1">
      <alignment horizontal="center" vertical="center"/>
    </xf>
    <xf numFmtId="1" fontId="23" fillId="0" borderId="20" xfId="0" applyNumberFormat="1" applyFont="1" applyBorder="1" applyAlignment="1">
      <alignment horizontal="center" vertical="center"/>
    </xf>
    <xf numFmtId="165" fontId="22" fillId="0" borderId="11" xfId="45" applyFont="1" applyBorder="1" applyAlignment="1">
      <alignment horizontal="center" vertical="center" wrapText="1"/>
    </xf>
    <xf numFmtId="44" fontId="23" fillId="0" borderId="13" xfId="69" applyFont="1" applyBorder="1" applyAlignment="1">
      <alignment horizontal="center" vertical="center"/>
    </xf>
    <xf numFmtId="167" fontId="23" fillId="0" borderId="13" xfId="0" applyNumberFormat="1" applyFont="1" applyBorder="1" applyAlignment="1">
      <alignment horizontal="center" vertical="center"/>
    </xf>
    <xf numFmtId="44" fontId="23" fillId="0" borderId="14" xfId="69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164" fontId="22" fillId="0" borderId="20" xfId="46" quotePrefix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4" fontId="23" fillId="0" borderId="14" xfId="69" applyFont="1" applyFill="1" applyBorder="1" applyAlignment="1">
      <alignment horizontal="center" vertical="center"/>
    </xf>
    <xf numFmtId="44" fontId="23" fillId="0" borderId="13" xfId="69" applyFont="1" applyFill="1" applyBorder="1" applyAlignment="1">
      <alignment horizontal="center" vertical="center"/>
    </xf>
    <xf numFmtId="1" fontId="23" fillId="0" borderId="21" xfId="0" applyNumberFormat="1" applyFont="1" applyBorder="1" applyAlignment="1">
      <alignment horizontal="center" vertical="center"/>
    </xf>
  </cellXfs>
  <cellStyles count="7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1 2" xfId="14" xr:uid="{00000000-0005-0000-0000-00000D000000}"/>
    <cellStyle name="60% - Énfasis1 3" xfId="15" xr:uid="{00000000-0005-0000-0000-00000E000000}"/>
    <cellStyle name="60% - Énfasis2" xfId="16" builtinId="36" customBuiltin="1"/>
    <cellStyle name="60% - Énfasis2 2" xfId="17" xr:uid="{00000000-0005-0000-0000-000010000000}"/>
    <cellStyle name="60% - Énfasis2 3" xfId="18" xr:uid="{00000000-0005-0000-0000-000011000000}"/>
    <cellStyle name="60% - Énfasis3" xfId="19" builtinId="40" customBuiltin="1"/>
    <cellStyle name="60% - Énfasis3 2" xfId="20" xr:uid="{00000000-0005-0000-0000-000013000000}"/>
    <cellStyle name="60% - Énfasis3 3" xfId="21" xr:uid="{00000000-0005-0000-0000-000014000000}"/>
    <cellStyle name="60% - Énfasis4" xfId="22" builtinId="44" customBuiltin="1"/>
    <cellStyle name="60% - Énfasis4 2" xfId="23" xr:uid="{00000000-0005-0000-0000-000016000000}"/>
    <cellStyle name="60% - Énfasis4 3" xfId="24" xr:uid="{00000000-0005-0000-0000-000017000000}"/>
    <cellStyle name="60% - Énfasis5" xfId="25" builtinId="48" customBuiltin="1"/>
    <cellStyle name="60% - Énfasis5 2" xfId="26" xr:uid="{00000000-0005-0000-0000-000019000000}"/>
    <cellStyle name="60% - Énfasis5 3" xfId="27" xr:uid="{00000000-0005-0000-0000-00001A000000}"/>
    <cellStyle name="60% - Énfasis6" xfId="28" builtinId="52" customBuiltin="1"/>
    <cellStyle name="60% - Énfasis6 2" xfId="29" xr:uid="{00000000-0005-0000-0000-00001C000000}"/>
    <cellStyle name="60% - Énfasis6 3" xfId="30" xr:uid="{00000000-0005-0000-0000-00001D000000}"/>
    <cellStyle name="Bueno" xfId="31" builtinId="26" customBuiltin="1"/>
    <cellStyle name="Cálculo" xfId="32" builtinId="22" customBuiltin="1"/>
    <cellStyle name="Celda de comprobación" xfId="33" builtinId="23" customBuiltin="1"/>
    <cellStyle name="Celda vinculada" xfId="34" builtinId="24" customBuiltin="1"/>
    <cellStyle name="Encabezado 1" xfId="35" builtinId="16" customBuiltin="1"/>
    <cellStyle name="Encabezado 4" xfId="36" builtinId="19" customBuiltin="1"/>
    <cellStyle name="Énfasis1" xfId="37" builtinId="29" customBuiltin="1"/>
    <cellStyle name="Énfasis2" xfId="38" builtinId="33" customBuiltin="1"/>
    <cellStyle name="Énfasis3" xfId="39" builtinId="37" customBuiltin="1"/>
    <cellStyle name="Énfasis4" xfId="40" builtinId="41" customBuiltin="1"/>
    <cellStyle name="Énfasis5" xfId="41" builtinId="45" customBuiltin="1"/>
    <cellStyle name="Énfasis6" xfId="42" builtinId="49" customBuiltin="1"/>
    <cellStyle name="Entrada" xfId="43" builtinId="20" customBuiltin="1"/>
    <cellStyle name="Incorrecto" xfId="44" builtinId="27" customBuiltin="1"/>
    <cellStyle name="Millares" xfId="45" builtinId="3"/>
    <cellStyle name="Millares [0]" xfId="46" builtinId="6"/>
    <cellStyle name="Millares [0] 2" xfId="47" xr:uid="{00000000-0005-0000-0000-00002E000000}"/>
    <cellStyle name="Millares [0] 2 2" xfId="48" xr:uid="{00000000-0005-0000-0000-00002F000000}"/>
    <cellStyle name="Millares 2" xfId="49" xr:uid="{00000000-0005-0000-0000-000030000000}"/>
    <cellStyle name="Millares 3" xfId="50" xr:uid="{00000000-0005-0000-0000-000031000000}"/>
    <cellStyle name="Millares 4" xfId="51" xr:uid="{00000000-0005-0000-0000-000032000000}"/>
    <cellStyle name="Millares 5" xfId="52" xr:uid="{00000000-0005-0000-0000-000033000000}"/>
    <cellStyle name="Millares 6" xfId="53" xr:uid="{00000000-0005-0000-0000-000034000000}"/>
    <cellStyle name="Millares 7" xfId="54" xr:uid="{00000000-0005-0000-0000-000035000000}"/>
    <cellStyle name="Moneda" xfId="69" builtinId="4"/>
    <cellStyle name="Neutral" xfId="55" builtinId="28" customBuiltin="1"/>
    <cellStyle name="Neutral 2" xfId="56" xr:uid="{00000000-0005-0000-0000-000037000000}"/>
    <cellStyle name="Neutral 3" xfId="57" xr:uid="{00000000-0005-0000-0000-000038000000}"/>
    <cellStyle name="Normal" xfId="0" builtinId="0"/>
    <cellStyle name="Normal 2" xfId="58" xr:uid="{00000000-0005-0000-0000-00003A000000}"/>
    <cellStyle name="Notas" xfId="59" builtinId="10" customBuiltin="1"/>
    <cellStyle name="Salida" xfId="60" builtinId="21" customBuiltin="1"/>
    <cellStyle name="Texto de advertencia" xfId="61" builtinId="11" customBuiltin="1"/>
    <cellStyle name="Texto explicativo" xfId="62" builtinId="53" customBuiltin="1"/>
    <cellStyle name="Título" xfId="63" builtinId="15" customBuiltin="1"/>
    <cellStyle name="Título 2" xfId="64" builtinId="17" customBuiltin="1"/>
    <cellStyle name="Título 3" xfId="65" builtinId="18" customBuiltin="1"/>
    <cellStyle name="Título 4" xfId="66" xr:uid="{00000000-0005-0000-0000-000042000000}"/>
    <cellStyle name="Título 5" xfId="67" xr:uid="{00000000-0005-0000-0000-000043000000}"/>
    <cellStyle name="Total" xfId="68" builtinId="25" customBuiltin="1"/>
  </cellStyles>
  <dxfs count="17">
    <dxf>
      <font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</font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1" defaultTableStyle="TableStyleMedium9" defaultPivotStyle="PivotStyleLight16">
    <tableStyle name="Estilo de tabla 1" pivot="0" count="3" xr9:uid="{78682799-0739-4D38-8269-70AC65D787BA}">
      <tableStyleElement type="wholeTable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00ED9-C99A-4DFB-9DA6-3DB621B0445C}" name="Tabla1" displayName="Tabla1" ref="A1:J47" totalsRowShown="0" headerRowDxfId="13" headerRowBorderDxfId="12" tableBorderDxfId="11" totalsRowBorderDxfId="10" headerRowCellStyle="Millares">
  <autoFilter ref="A1:J47" xr:uid="{5C100ED9-C99A-4DFB-9DA6-3DB621B0445C}"/>
  <tableColumns count="10">
    <tableColumn id="1" xr3:uid="{FB2E7E6E-B9DF-452F-B2A2-2AB44181D5CF}" name="FECHA" dataDxfId="9"/>
    <tableColumn id="2" xr3:uid="{8A19C22C-CACA-4F91-A315-6C8B848C6293}" name="CONTRATOS" dataDxfId="8"/>
    <tableColumn id="3" xr3:uid="{155040A0-F1E2-4836-B259-C24BCE5A1BA4}" name="NEMOTÉCNICOS" dataDxfId="7"/>
    <tableColumn id="4" xr3:uid="{0AA2A8FD-9DD7-4EA5-AA1E-0B7DCAC84A2D}" name="CANTIDAD DE ENERGÍA EN COMPRA POR MES (kWh)" dataDxfId="6"/>
    <tableColumn id="5" xr3:uid="{9F24795A-8397-453B-B526-57E245580378}" name="MEJOR PRECIO DE COMPRA (BID)" dataDxfId="5" dataCellStyle="Moneda"/>
    <tableColumn id="6" xr3:uid="{80770AB4-D6FE-48EB-9E4B-C0C5F8395199}" name="MEJOR PRECIO DE VENTA (OFFER)" dataDxfId="4" dataCellStyle="Moneda"/>
    <tableColumn id="7" xr3:uid="{9E54EFFE-360F-4A65-A8F5-97B682007705}" name="CANTIDAD DE ENERGÍA EN VENTA POR MES (kWh)" dataDxfId="3"/>
    <tableColumn id="9" xr3:uid="{F143CBA4-BBE1-4120-AF4B-6CA086EB4FF7}" name="." dataDxfId="2"/>
    <tableColumn id="8" xr3:uid="{B905C9BF-EA13-49D8-B762-5CB9F875D9A6}" name="TOTAL CANTIDAD DE ENERGÍA EXPUESTA EN COMPRA(KWh)" dataDxfId="1">
      <calculatedColumnFormula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calculatedColumnFormula>
    </tableColumn>
    <tableColumn id="10" xr3:uid="{D8017233-99D4-4708-9C7B-E8AEE25F271D}" name="TOTAL CANTIDAD DE ENERGÍA EXPUESTA EN VENTA (KWh)" dataDxfId="0">
      <calculatedColumnFormula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F771-78AC-4CD6-B375-2C90234CD300}">
  <dimension ref="A1:P67"/>
  <sheetViews>
    <sheetView showGridLines="0" tabSelected="1" zoomScale="175" zoomScaleNormal="175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baseColWidth="10" defaultColWidth="11.42578125" defaultRowHeight="15" x14ac:dyDescent="0.25"/>
  <cols>
    <col min="1" max="1" width="12" style="6" bestFit="1" customWidth="1"/>
    <col min="2" max="2" width="17" style="7" bestFit="1" customWidth="1"/>
    <col min="3" max="3" width="24.7109375" style="6" bestFit="1" customWidth="1"/>
    <col min="4" max="7" width="26.42578125" style="6" customWidth="1"/>
    <col min="8" max="8" width="6" style="6" customWidth="1"/>
    <col min="9" max="10" width="18.42578125" style="6" bestFit="1" customWidth="1"/>
    <col min="11" max="14" width="11.42578125" style="6"/>
    <col min="15" max="16" width="13.85546875" style="6" bestFit="1" customWidth="1"/>
    <col min="17" max="16384" width="11.42578125" style="6"/>
  </cols>
  <sheetData>
    <row r="1" spans="1:16" ht="51" x14ac:dyDescent="0.25">
      <c r="A1" s="5" t="s">
        <v>0</v>
      </c>
      <c r="B1" s="4" t="s">
        <v>4</v>
      </c>
      <c r="C1" s="5" t="s">
        <v>3</v>
      </c>
      <c r="D1" s="1" t="s">
        <v>5</v>
      </c>
      <c r="E1" s="19" t="s">
        <v>1</v>
      </c>
      <c r="F1" s="2" t="s">
        <v>2</v>
      </c>
      <c r="G1" s="3" t="s">
        <v>6</v>
      </c>
      <c r="H1" s="27" t="s">
        <v>51</v>
      </c>
      <c r="I1" s="1" t="s">
        <v>52</v>
      </c>
      <c r="J1" s="1" t="s">
        <v>53</v>
      </c>
    </row>
    <row r="2" spans="1:16" x14ac:dyDescent="0.25">
      <c r="A2" s="25">
        <v>45021</v>
      </c>
      <c r="B2" s="24" t="s">
        <v>7</v>
      </c>
      <c r="C2" s="23" t="s">
        <v>8</v>
      </c>
      <c r="D2" s="21">
        <v>0</v>
      </c>
      <c r="E2" s="22">
        <v>0</v>
      </c>
      <c r="F2" s="20">
        <v>320</v>
      </c>
      <c r="G2" s="26">
        <v>18000000</v>
      </c>
      <c r="H2" s="18"/>
      <c r="I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54000000</v>
      </c>
      <c r="O2" s="28"/>
      <c r="P2" s="28"/>
    </row>
    <row r="3" spans="1:16" x14ac:dyDescent="0.25">
      <c r="A3" s="25">
        <v>45190</v>
      </c>
      <c r="B3" s="24" t="s">
        <v>9</v>
      </c>
      <c r="C3" s="23" t="s">
        <v>10</v>
      </c>
      <c r="D3" s="21">
        <v>0</v>
      </c>
      <c r="E3" s="22">
        <v>0</v>
      </c>
      <c r="F3" s="20">
        <v>385</v>
      </c>
      <c r="G3" s="26">
        <v>2160000</v>
      </c>
      <c r="H3" s="18"/>
      <c r="I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3" s="28"/>
      <c r="P3" s="28"/>
    </row>
    <row r="4" spans="1:16" x14ac:dyDescent="0.25">
      <c r="A4" s="25">
        <v>45191</v>
      </c>
      <c r="B4" s="24" t="s">
        <v>9</v>
      </c>
      <c r="C4" s="23" t="s">
        <v>10</v>
      </c>
      <c r="D4" s="21">
        <v>0</v>
      </c>
      <c r="E4" s="22">
        <v>0</v>
      </c>
      <c r="F4" s="20">
        <v>385</v>
      </c>
      <c r="G4" s="26">
        <v>2160000</v>
      </c>
      <c r="H4" s="18"/>
      <c r="I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4" s="28"/>
      <c r="P4" s="28"/>
    </row>
    <row r="5" spans="1:16" x14ac:dyDescent="0.25">
      <c r="A5" s="25">
        <v>45194</v>
      </c>
      <c r="B5" s="24" t="s">
        <v>9</v>
      </c>
      <c r="C5" s="23" t="s">
        <v>10</v>
      </c>
      <c r="D5" s="21">
        <v>0</v>
      </c>
      <c r="E5" s="22">
        <v>0</v>
      </c>
      <c r="F5" s="20">
        <v>385</v>
      </c>
      <c r="G5" s="26">
        <v>2160000</v>
      </c>
      <c r="H5" s="18"/>
      <c r="I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5" s="28"/>
      <c r="P5" s="28"/>
    </row>
    <row r="6" spans="1:16" x14ac:dyDescent="0.25">
      <c r="A6" s="25">
        <v>45195</v>
      </c>
      <c r="B6" s="24" t="s">
        <v>9</v>
      </c>
      <c r="C6" s="23" t="s">
        <v>10</v>
      </c>
      <c r="D6" s="21">
        <v>0</v>
      </c>
      <c r="E6" s="22">
        <v>0</v>
      </c>
      <c r="F6" s="20">
        <v>385</v>
      </c>
      <c r="G6" s="26">
        <v>2160000</v>
      </c>
      <c r="H6" s="18"/>
      <c r="I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6" s="28"/>
      <c r="P6" s="28"/>
    </row>
    <row r="7" spans="1:16" x14ac:dyDescent="0.25">
      <c r="A7" s="25">
        <v>45196</v>
      </c>
      <c r="B7" s="24" t="s">
        <v>9</v>
      </c>
      <c r="C7" s="23" t="s">
        <v>10</v>
      </c>
      <c r="D7" s="21">
        <v>0</v>
      </c>
      <c r="E7" s="22">
        <v>0</v>
      </c>
      <c r="F7" s="20">
        <v>385</v>
      </c>
      <c r="G7" s="26">
        <v>2160000</v>
      </c>
      <c r="H7" s="18"/>
      <c r="I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7" s="28"/>
      <c r="P7" s="28"/>
    </row>
    <row r="8" spans="1:16" x14ac:dyDescent="0.25">
      <c r="A8" s="25">
        <v>45197</v>
      </c>
      <c r="B8" s="24" t="s">
        <v>9</v>
      </c>
      <c r="C8" s="23" t="s">
        <v>10</v>
      </c>
      <c r="D8" s="21">
        <v>0</v>
      </c>
      <c r="E8" s="22">
        <v>0</v>
      </c>
      <c r="F8" s="20">
        <v>385</v>
      </c>
      <c r="G8" s="26">
        <v>2160000</v>
      </c>
      <c r="H8" s="18"/>
      <c r="I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8" s="28"/>
      <c r="P8" s="28"/>
    </row>
    <row r="9" spans="1:16" x14ac:dyDescent="0.25">
      <c r="A9" s="25">
        <v>45198</v>
      </c>
      <c r="B9" s="24" t="s">
        <v>9</v>
      </c>
      <c r="C9" s="23" t="s">
        <v>10</v>
      </c>
      <c r="D9" s="21">
        <v>0</v>
      </c>
      <c r="E9" s="22">
        <v>0</v>
      </c>
      <c r="F9" s="20">
        <v>385</v>
      </c>
      <c r="G9" s="26">
        <v>2160000</v>
      </c>
      <c r="H9" s="18"/>
      <c r="I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9" s="28"/>
      <c r="P9" s="28"/>
    </row>
    <row r="10" spans="1:16" x14ac:dyDescent="0.25">
      <c r="A10" s="25">
        <v>45201</v>
      </c>
      <c r="B10" s="24" t="s">
        <v>9</v>
      </c>
      <c r="C10" s="23" t="s">
        <v>10</v>
      </c>
      <c r="D10" s="21">
        <v>0</v>
      </c>
      <c r="E10" s="22">
        <v>0</v>
      </c>
      <c r="F10" s="20">
        <v>385</v>
      </c>
      <c r="G10" s="26">
        <v>2160000</v>
      </c>
      <c r="H10" s="18"/>
      <c r="I1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10" s="28"/>
      <c r="P10" s="28"/>
    </row>
    <row r="11" spans="1:16" x14ac:dyDescent="0.25">
      <c r="A11" s="25">
        <v>45202</v>
      </c>
      <c r="B11" s="24" t="s">
        <v>9</v>
      </c>
      <c r="C11" s="23" t="s">
        <v>10</v>
      </c>
      <c r="D11" s="21">
        <v>0</v>
      </c>
      <c r="E11" s="22">
        <v>0</v>
      </c>
      <c r="F11" s="20">
        <v>385</v>
      </c>
      <c r="G11" s="26">
        <v>2160000</v>
      </c>
      <c r="H11" s="18"/>
      <c r="I1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11" s="28"/>
      <c r="P11" s="28"/>
    </row>
    <row r="12" spans="1:16" x14ac:dyDescent="0.25">
      <c r="A12" s="25">
        <v>45203</v>
      </c>
      <c r="B12" s="24" t="s">
        <v>9</v>
      </c>
      <c r="C12" s="23" t="s">
        <v>10</v>
      </c>
      <c r="D12" s="21">
        <v>0</v>
      </c>
      <c r="E12" s="22">
        <v>0</v>
      </c>
      <c r="F12" s="20">
        <v>380</v>
      </c>
      <c r="G12" s="26">
        <v>1800000</v>
      </c>
      <c r="H12" s="18"/>
      <c r="I1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12" s="28"/>
      <c r="P12" s="28"/>
    </row>
    <row r="13" spans="1:16" x14ac:dyDescent="0.25">
      <c r="A13" s="25">
        <v>45203</v>
      </c>
      <c r="B13" s="24" t="s">
        <v>11</v>
      </c>
      <c r="C13" s="23" t="s">
        <v>12</v>
      </c>
      <c r="D13" s="21">
        <v>0</v>
      </c>
      <c r="E13" s="22">
        <v>0</v>
      </c>
      <c r="F13" s="20">
        <v>390</v>
      </c>
      <c r="G13" s="26">
        <v>1800000</v>
      </c>
      <c r="H13" s="18"/>
      <c r="I1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13" s="28"/>
      <c r="P13" s="28"/>
    </row>
    <row r="14" spans="1:16" x14ac:dyDescent="0.25">
      <c r="A14" s="25">
        <v>45204</v>
      </c>
      <c r="B14" s="24" t="s">
        <v>9</v>
      </c>
      <c r="C14" s="23" t="s">
        <v>10</v>
      </c>
      <c r="D14" s="21">
        <v>0</v>
      </c>
      <c r="E14" s="22">
        <v>0</v>
      </c>
      <c r="F14" s="20">
        <v>380</v>
      </c>
      <c r="G14" s="26">
        <v>1800000</v>
      </c>
      <c r="H14" s="18"/>
      <c r="I1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14" s="28"/>
      <c r="P14" s="28"/>
    </row>
    <row r="15" spans="1:16" x14ac:dyDescent="0.25">
      <c r="A15" s="25">
        <v>45204</v>
      </c>
      <c r="B15" s="24" t="s">
        <v>11</v>
      </c>
      <c r="C15" s="23" t="s">
        <v>12</v>
      </c>
      <c r="D15" s="21">
        <v>0</v>
      </c>
      <c r="E15" s="22">
        <v>0</v>
      </c>
      <c r="F15" s="20">
        <v>390</v>
      </c>
      <c r="G15" s="26">
        <v>1800000</v>
      </c>
      <c r="H15" s="18"/>
      <c r="I1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15" s="28"/>
      <c r="P15" s="28"/>
    </row>
    <row r="16" spans="1:16" x14ac:dyDescent="0.25">
      <c r="A16" s="25">
        <v>45204</v>
      </c>
      <c r="B16" s="24" t="s">
        <v>9</v>
      </c>
      <c r="C16" s="23" t="s">
        <v>10</v>
      </c>
      <c r="D16" s="21">
        <v>1440000</v>
      </c>
      <c r="E16" s="22">
        <v>347</v>
      </c>
      <c r="F16" s="20">
        <v>0</v>
      </c>
      <c r="G16" s="26">
        <v>0</v>
      </c>
      <c r="H16" s="18"/>
      <c r="I1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1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16" s="28"/>
      <c r="P16" s="28"/>
    </row>
    <row r="17" spans="1:16" x14ac:dyDescent="0.25">
      <c r="A17" s="25">
        <v>45205</v>
      </c>
      <c r="B17" s="24" t="s">
        <v>9</v>
      </c>
      <c r="C17" s="23" t="s">
        <v>10</v>
      </c>
      <c r="D17" s="21">
        <v>0</v>
      </c>
      <c r="E17" s="22">
        <v>0</v>
      </c>
      <c r="F17" s="20">
        <v>380</v>
      </c>
      <c r="G17" s="26">
        <v>1800000</v>
      </c>
      <c r="H17" s="18"/>
      <c r="I1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17" s="28"/>
      <c r="P17" s="28"/>
    </row>
    <row r="18" spans="1:16" x14ac:dyDescent="0.25">
      <c r="A18" s="25">
        <v>45205</v>
      </c>
      <c r="B18" s="24" t="s">
        <v>11</v>
      </c>
      <c r="C18" s="23" t="s">
        <v>12</v>
      </c>
      <c r="D18" s="21">
        <v>0</v>
      </c>
      <c r="E18" s="22">
        <v>0</v>
      </c>
      <c r="F18" s="20">
        <v>390</v>
      </c>
      <c r="G18" s="26">
        <v>1800000</v>
      </c>
      <c r="H18" s="18"/>
      <c r="I1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18" s="28"/>
      <c r="P18" s="28"/>
    </row>
    <row r="19" spans="1:16" x14ac:dyDescent="0.25">
      <c r="A19" s="25">
        <v>45205</v>
      </c>
      <c r="B19" s="24" t="s">
        <v>9</v>
      </c>
      <c r="C19" s="23" t="s">
        <v>10</v>
      </c>
      <c r="D19" s="21">
        <v>1440000</v>
      </c>
      <c r="E19" s="22">
        <v>347</v>
      </c>
      <c r="F19" s="20">
        <v>0</v>
      </c>
      <c r="G19" s="26">
        <v>0</v>
      </c>
      <c r="H19" s="18"/>
      <c r="I1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1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19" s="28"/>
      <c r="P19" s="28"/>
    </row>
    <row r="20" spans="1:16" x14ac:dyDescent="0.25">
      <c r="A20" s="25">
        <v>45208</v>
      </c>
      <c r="B20" s="24" t="s">
        <v>9</v>
      </c>
      <c r="C20" s="23" t="s">
        <v>10</v>
      </c>
      <c r="D20" s="21">
        <v>0</v>
      </c>
      <c r="E20" s="22">
        <v>0</v>
      </c>
      <c r="F20" s="20">
        <v>380</v>
      </c>
      <c r="G20" s="26">
        <v>1800000</v>
      </c>
      <c r="H20" s="18"/>
      <c r="I2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0" s="28"/>
      <c r="P20" s="28"/>
    </row>
    <row r="21" spans="1:16" x14ac:dyDescent="0.25">
      <c r="A21" s="25">
        <v>45208</v>
      </c>
      <c r="B21" s="24" t="s">
        <v>11</v>
      </c>
      <c r="C21" s="23" t="s">
        <v>12</v>
      </c>
      <c r="D21" s="21">
        <v>0</v>
      </c>
      <c r="E21" s="22">
        <v>0</v>
      </c>
      <c r="F21" s="20">
        <v>390</v>
      </c>
      <c r="G21" s="26">
        <v>1800000</v>
      </c>
      <c r="H21" s="18"/>
      <c r="I2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21" s="28"/>
      <c r="P21" s="28"/>
    </row>
    <row r="22" spans="1:16" x14ac:dyDescent="0.25">
      <c r="A22" s="25">
        <v>45208</v>
      </c>
      <c r="B22" s="24" t="s">
        <v>9</v>
      </c>
      <c r="C22" s="23" t="s">
        <v>10</v>
      </c>
      <c r="D22" s="21">
        <v>1440000</v>
      </c>
      <c r="E22" s="22">
        <v>347</v>
      </c>
      <c r="F22" s="20">
        <v>0</v>
      </c>
      <c r="G22" s="26">
        <v>0</v>
      </c>
      <c r="H22" s="18"/>
      <c r="I2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2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22" s="28"/>
      <c r="P22" s="28"/>
    </row>
    <row r="23" spans="1:16" x14ac:dyDescent="0.25">
      <c r="A23" s="25">
        <v>45209</v>
      </c>
      <c r="B23" s="24" t="s">
        <v>9</v>
      </c>
      <c r="C23" s="23" t="s">
        <v>10</v>
      </c>
      <c r="D23" s="21">
        <v>0</v>
      </c>
      <c r="E23" s="22">
        <v>0</v>
      </c>
      <c r="F23" s="20">
        <v>380</v>
      </c>
      <c r="G23" s="26">
        <v>1800000</v>
      </c>
      <c r="H23" s="18"/>
      <c r="I2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3" s="28"/>
      <c r="P23" s="28"/>
    </row>
    <row r="24" spans="1:16" x14ac:dyDescent="0.25">
      <c r="A24" s="25">
        <v>45209</v>
      </c>
      <c r="B24" s="24" t="s">
        <v>11</v>
      </c>
      <c r="C24" s="23" t="s">
        <v>12</v>
      </c>
      <c r="D24" s="21">
        <v>0</v>
      </c>
      <c r="E24" s="22">
        <v>0</v>
      </c>
      <c r="F24" s="20">
        <v>390</v>
      </c>
      <c r="G24" s="26">
        <v>1800000</v>
      </c>
      <c r="H24" s="18"/>
      <c r="I2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24" s="28"/>
      <c r="P24" s="28"/>
    </row>
    <row r="25" spans="1:16" x14ac:dyDescent="0.25">
      <c r="A25" s="25">
        <v>45209</v>
      </c>
      <c r="B25" s="24" t="s">
        <v>9</v>
      </c>
      <c r="C25" s="23" t="s">
        <v>10</v>
      </c>
      <c r="D25" s="21">
        <v>1440000</v>
      </c>
      <c r="E25" s="29">
        <v>347</v>
      </c>
      <c r="F25" s="30">
        <v>0</v>
      </c>
      <c r="G25" s="26">
        <v>0</v>
      </c>
      <c r="H25" s="18"/>
      <c r="I2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2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25" s="28"/>
      <c r="P25" s="28"/>
    </row>
    <row r="26" spans="1:16" x14ac:dyDescent="0.25">
      <c r="A26" s="25">
        <v>45210</v>
      </c>
      <c r="B26" s="24" t="s">
        <v>9</v>
      </c>
      <c r="C26" s="23" t="s">
        <v>10</v>
      </c>
      <c r="D26" s="21">
        <v>0</v>
      </c>
      <c r="E26" s="29">
        <v>0</v>
      </c>
      <c r="F26" s="30">
        <v>380</v>
      </c>
      <c r="G26" s="26">
        <v>1800000</v>
      </c>
      <c r="H26" s="18"/>
      <c r="I2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6" s="28"/>
      <c r="P26" s="28"/>
    </row>
    <row r="27" spans="1:16" x14ac:dyDescent="0.25">
      <c r="A27" s="25">
        <v>45210</v>
      </c>
      <c r="B27" s="24" t="s">
        <v>11</v>
      </c>
      <c r="C27" s="23" t="s">
        <v>12</v>
      </c>
      <c r="D27" s="21">
        <v>0</v>
      </c>
      <c r="E27" s="29">
        <v>0</v>
      </c>
      <c r="F27" s="30">
        <v>390</v>
      </c>
      <c r="G27" s="26">
        <v>1800000</v>
      </c>
      <c r="H27" s="18"/>
      <c r="I2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27" s="28"/>
      <c r="P27" s="28"/>
    </row>
    <row r="28" spans="1:16" x14ac:dyDescent="0.25">
      <c r="A28" s="25">
        <v>45210</v>
      </c>
      <c r="B28" s="24" t="s">
        <v>9</v>
      </c>
      <c r="C28" s="23" t="s">
        <v>10</v>
      </c>
      <c r="D28" s="21">
        <v>1440000</v>
      </c>
      <c r="E28" s="29">
        <v>347</v>
      </c>
      <c r="F28" s="30">
        <v>0</v>
      </c>
      <c r="G28" s="26">
        <v>0</v>
      </c>
      <c r="H28" s="18"/>
      <c r="I2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2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28" s="28"/>
      <c r="P28" s="28"/>
    </row>
    <row r="29" spans="1:16" x14ac:dyDescent="0.25">
      <c r="A29" s="25">
        <v>45211</v>
      </c>
      <c r="B29" s="24" t="s">
        <v>9</v>
      </c>
      <c r="C29" s="23" t="s">
        <v>10</v>
      </c>
      <c r="D29" s="21">
        <v>0</v>
      </c>
      <c r="E29" s="29">
        <v>0</v>
      </c>
      <c r="F29" s="30">
        <v>380</v>
      </c>
      <c r="G29" s="26">
        <v>1800000</v>
      </c>
      <c r="H29" s="18"/>
      <c r="I2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9" s="28"/>
      <c r="P29" s="28"/>
    </row>
    <row r="30" spans="1:16" x14ac:dyDescent="0.25">
      <c r="A30" s="25">
        <v>45211</v>
      </c>
      <c r="B30" s="24" t="s">
        <v>11</v>
      </c>
      <c r="C30" s="23" t="s">
        <v>12</v>
      </c>
      <c r="D30" s="21">
        <v>0</v>
      </c>
      <c r="E30" s="29">
        <v>0</v>
      </c>
      <c r="F30" s="30">
        <v>390</v>
      </c>
      <c r="G30" s="26">
        <v>1800000</v>
      </c>
      <c r="H30" s="18"/>
      <c r="I3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0" s="28"/>
      <c r="P30" s="28"/>
    </row>
    <row r="31" spans="1:16" x14ac:dyDescent="0.25">
      <c r="A31" s="25">
        <v>45212</v>
      </c>
      <c r="B31" s="24" t="s">
        <v>9</v>
      </c>
      <c r="C31" s="23" t="s">
        <v>10</v>
      </c>
      <c r="D31" s="21">
        <v>0</v>
      </c>
      <c r="E31" s="29">
        <v>0</v>
      </c>
      <c r="F31" s="30">
        <v>380</v>
      </c>
      <c r="G31" s="26">
        <v>1800000</v>
      </c>
      <c r="H31" s="18"/>
      <c r="I3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31" s="28"/>
      <c r="P31" s="28"/>
    </row>
    <row r="32" spans="1:16" x14ac:dyDescent="0.25">
      <c r="A32" s="25">
        <f t="shared" ref="A32" si="0">+A30+1</f>
        <v>45212</v>
      </c>
      <c r="B32" s="24" t="s">
        <v>11</v>
      </c>
      <c r="C32" s="23" t="s">
        <v>12</v>
      </c>
      <c r="D32" s="21">
        <v>0</v>
      </c>
      <c r="E32" s="29">
        <v>0</v>
      </c>
      <c r="F32" s="30">
        <v>390</v>
      </c>
      <c r="G32" s="26">
        <v>1800000</v>
      </c>
      <c r="H32" s="18"/>
      <c r="I3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2" s="28"/>
      <c r="P32" s="28"/>
    </row>
    <row r="33" spans="1:16" customFormat="1" x14ac:dyDescent="0.25">
      <c r="A33" s="25">
        <v>45216</v>
      </c>
      <c r="B33" s="24" t="s">
        <v>9</v>
      </c>
      <c r="C33" s="23" t="s">
        <v>10</v>
      </c>
      <c r="D33" s="21">
        <v>0</v>
      </c>
      <c r="E33" s="29">
        <v>0</v>
      </c>
      <c r="F33" s="30">
        <v>380</v>
      </c>
      <c r="G33" s="26">
        <v>1800000</v>
      </c>
      <c r="H33" s="18"/>
      <c r="I3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L33" s="6"/>
      <c r="M33" s="6"/>
      <c r="N33" s="6"/>
      <c r="O33" s="28"/>
      <c r="P33" s="28"/>
    </row>
    <row r="34" spans="1:16" customFormat="1" x14ac:dyDescent="0.25">
      <c r="A34" s="25">
        <v>45216</v>
      </c>
      <c r="B34" s="24" t="s">
        <v>11</v>
      </c>
      <c r="C34" s="23" t="s">
        <v>12</v>
      </c>
      <c r="D34" s="21">
        <v>0</v>
      </c>
      <c r="E34" s="29">
        <v>0</v>
      </c>
      <c r="F34" s="30">
        <v>390</v>
      </c>
      <c r="G34" s="26">
        <v>1800000</v>
      </c>
      <c r="H34" s="18"/>
      <c r="I3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L34" s="6"/>
      <c r="M34" s="6"/>
      <c r="N34" s="6"/>
      <c r="O34" s="28"/>
      <c r="P34" s="28"/>
    </row>
    <row r="35" spans="1:16" customFormat="1" x14ac:dyDescent="0.25">
      <c r="A35" s="25">
        <f t="shared" ref="A35:A38" si="1">+A33+1</f>
        <v>45217</v>
      </c>
      <c r="B35" s="24" t="s">
        <v>9</v>
      </c>
      <c r="C35" s="23" t="s">
        <v>10</v>
      </c>
      <c r="D35" s="21">
        <v>0</v>
      </c>
      <c r="E35" s="29">
        <v>0</v>
      </c>
      <c r="F35" s="30">
        <v>380</v>
      </c>
      <c r="G35" s="26">
        <v>1800000</v>
      </c>
      <c r="H35" s="18"/>
      <c r="I3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L35" s="6"/>
      <c r="M35" s="6"/>
      <c r="N35" s="6"/>
      <c r="O35" s="28"/>
      <c r="P35" s="28"/>
    </row>
    <row r="36" spans="1:16" x14ac:dyDescent="0.25">
      <c r="A36" s="25">
        <f t="shared" si="1"/>
        <v>45217</v>
      </c>
      <c r="B36" s="24" t="s">
        <v>11</v>
      </c>
      <c r="C36" s="23" t="s">
        <v>12</v>
      </c>
      <c r="D36" s="21">
        <v>0</v>
      </c>
      <c r="E36" s="29">
        <v>0</v>
      </c>
      <c r="F36" s="30">
        <v>390</v>
      </c>
      <c r="G36" s="26">
        <v>1800000</v>
      </c>
      <c r="H36" s="18"/>
      <c r="I3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6" s="28"/>
      <c r="P36" s="28"/>
    </row>
    <row r="37" spans="1:16" x14ac:dyDescent="0.25">
      <c r="A37" s="25">
        <f t="shared" si="1"/>
        <v>45218</v>
      </c>
      <c r="B37" s="24" t="s">
        <v>9</v>
      </c>
      <c r="C37" s="23" t="s">
        <v>10</v>
      </c>
      <c r="D37" s="21">
        <v>0</v>
      </c>
      <c r="E37" s="29">
        <v>0</v>
      </c>
      <c r="F37" s="30">
        <v>380</v>
      </c>
      <c r="G37" s="26">
        <v>1800000</v>
      </c>
      <c r="H37" s="18"/>
      <c r="I3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37" s="28"/>
      <c r="P37" s="28"/>
    </row>
    <row r="38" spans="1:16" x14ac:dyDescent="0.25">
      <c r="A38" s="25">
        <f t="shared" si="1"/>
        <v>45218</v>
      </c>
      <c r="B38" s="24" t="s">
        <v>11</v>
      </c>
      <c r="C38" s="23" t="s">
        <v>12</v>
      </c>
      <c r="D38" s="21">
        <v>0</v>
      </c>
      <c r="E38" s="29">
        <v>0</v>
      </c>
      <c r="F38" s="30">
        <v>390</v>
      </c>
      <c r="G38" s="26">
        <v>1800000</v>
      </c>
      <c r="H38" s="31"/>
      <c r="I3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8" s="28"/>
      <c r="P38" s="28"/>
    </row>
    <row r="39" spans="1:16" x14ac:dyDescent="0.25">
      <c r="A39" s="25">
        <v>45730</v>
      </c>
      <c r="B39" s="24" t="s">
        <v>54</v>
      </c>
      <c r="C39" s="23" t="s">
        <v>55</v>
      </c>
      <c r="D39" s="21">
        <v>7200000</v>
      </c>
      <c r="E39" s="22">
        <v>330</v>
      </c>
      <c r="F39" s="20">
        <v>0</v>
      </c>
      <c r="G39" s="26">
        <v>0</v>
      </c>
      <c r="H39" s="18"/>
      <c r="I3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43200000</v>
      </c>
      <c r="J3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0" spans="1:16" x14ac:dyDescent="0.25">
      <c r="A40" s="25">
        <v>45861</v>
      </c>
      <c r="B40" s="24" t="s">
        <v>56</v>
      </c>
      <c r="C40" s="23" t="s">
        <v>57</v>
      </c>
      <c r="D40" s="21">
        <v>2160000</v>
      </c>
      <c r="E40" s="22">
        <v>270</v>
      </c>
      <c r="F40" s="20">
        <v>0</v>
      </c>
      <c r="G40" s="26">
        <v>0</v>
      </c>
      <c r="H40" s="18"/>
      <c r="I4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10800000</v>
      </c>
      <c r="J4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1" spans="1:16" x14ac:dyDescent="0.25">
      <c r="A41" s="25">
        <v>45867</v>
      </c>
      <c r="B41" s="24" t="s">
        <v>59</v>
      </c>
      <c r="C41" s="23" t="s">
        <v>58</v>
      </c>
      <c r="D41" s="21">
        <v>1800000</v>
      </c>
      <c r="E41" s="22">
        <v>270</v>
      </c>
      <c r="F41" s="20">
        <v>0</v>
      </c>
      <c r="G41" s="26">
        <v>0</v>
      </c>
      <c r="H41" s="18"/>
      <c r="I41" s="17">
        <v>5400000</v>
      </c>
      <c r="J4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2" spans="1:16" x14ac:dyDescent="0.25">
      <c r="A42" s="25">
        <v>45868</v>
      </c>
      <c r="B42" s="24" t="s">
        <v>59</v>
      </c>
      <c r="C42" s="23" t="s">
        <v>58</v>
      </c>
      <c r="D42" s="21">
        <v>1800000</v>
      </c>
      <c r="E42" s="22">
        <v>270</v>
      </c>
      <c r="F42" s="20">
        <v>0</v>
      </c>
      <c r="G42" s="26">
        <v>0</v>
      </c>
      <c r="H42" s="18"/>
      <c r="I42" s="17">
        <v>5400000</v>
      </c>
      <c r="J4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3" spans="1:16" x14ac:dyDescent="0.25">
      <c r="A43" s="25">
        <v>45869</v>
      </c>
      <c r="B43" s="24" t="s">
        <v>59</v>
      </c>
      <c r="C43" s="23" t="s">
        <v>58</v>
      </c>
      <c r="D43" s="21">
        <v>1800000</v>
      </c>
      <c r="E43" s="22">
        <v>270</v>
      </c>
      <c r="F43" s="20">
        <v>0</v>
      </c>
      <c r="G43" s="26">
        <v>0</v>
      </c>
      <c r="H43" s="18"/>
      <c r="I43" s="17">
        <v>5400000</v>
      </c>
      <c r="J4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4" spans="1:16" x14ac:dyDescent="0.25">
      <c r="A44" s="25">
        <v>45881</v>
      </c>
      <c r="B44" s="24" t="s">
        <v>59</v>
      </c>
      <c r="C44" s="23" t="s">
        <v>58</v>
      </c>
      <c r="D44" s="21">
        <v>3600000</v>
      </c>
      <c r="E44" s="22">
        <v>270</v>
      </c>
      <c r="F44" s="20"/>
      <c r="G44" s="26"/>
      <c r="H44" s="18"/>
      <c r="I44" s="17">
        <v>10800000</v>
      </c>
      <c r="J4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5" spans="1:16" x14ac:dyDescent="0.25">
      <c r="A45" s="25">
        <v>45882</v>
      </c>
      <c r="B45" s="24" t="s">
        <v>59</v>
      </c>
      <c r="C45" s="23" t="s">
        <v>58</v>
      </c>
      <c r="D45" s="21">
        <v>3600000</v>
      </c>
      <c r="E45" s="22">
        <v>270</v>
      </c>
      <c r="F45" s="20"/>
      <c r="G45" s="26"/>
      <c r="H45" s="18"/>
      <c r="I45" s="17">
        <v>10800000</v>
      </c>
      <c r="J4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6" spans="1:16" x14ac:dyDescent="0.25">
      <c r="A46" s="25">
        <v>45883</v>
      </c>
      <c r="B46" s="24" t="s">
        <v>59</v>
      </c>
      <c r="C46" s="23" t="s">
        <v>58</v>
      </c>
      <c r="D46" s="21">
        <v>3600000</v>
      </c>
      <c r="E46" s="22">
        <v>270</v>
      </c>
      <c r="F46" s="20"/>
      <c r="G46" s="26"/>
      <c r="H46" s="18"/>
      <c r="I46" s="17">
        <v>10800000</v>
      </c>
      <c r="J4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7" spans="1:16" x14ac:dyDescent="0.25">
      <c r="A47" s="25">
        <v>45884</v>
      </c>
      <c r="B47" s="24" t="s">
        <v>59</v>
      </c>
      <c r="C47" s="23" t="s">
        <v>58</v>
      </c>
      <c r="D47" s="21">
        <v>3600000</v>
      </c>
      <c r="E47" s="22">
        <v>270</v>
      </c>
      <c r="F47" s="20"/>
      <c r="G47" s="26"/>
      <c r="H47" s="18"/>
      <c r="I47" s="17">
        <v>10800000</v>
      </c>
      <c r="J4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8" spans="1:16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</sheetData>
  <phoneticPr fontId="21" type="noConversion"/>
  <pageMargins left="0.7" right="0.7" top="0.75" bottom="0.75" header="0.3" footer="0.3"/>
  <pageSetup orientation="portrait" r:id="rId1"/>
  <ignoredErrors>
    <ignoredError sqref="I41:I4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250E-E469-495D-B791-6E0191BED8A3}">
  <dimension ref="A1:E13"/>
  <sheetViews>
    <sheetView workbookViewId="0">
      <selection activeCell="H22" sqref="H22"/>
    </sheetView>
  </sheetViews>
  <sheetFormatPr baseColWidth="10" defaultRowHeight="15" x14ac:dyDescent="0.25"/>
  <sheetData>
    <row r="1" spans="1:5" x14ac:dyDescent="0.25">
      <c r="A1" s="8" t="s">
        <v>13</v>
      </c>
      <c r="B1" s="9" t="s">
        <v>14</v>
      </c>
      <c r="C1" s="9" t="s">
        <v>0</v>
      </c>
      <c r="D1" s="10" t="s">
        <v>0</v>
      </c>
      <c r="E1" s="8" t="s">
        <v>13</v>
      </c>
    </row>
    <row r="2" spans="1:5" ht="16.5" x14ac:dyDescent="0.25">
      <c r="A2" s="11">
        <v>1</v>
      </c>
      <c r="B2" s="12" t="s">
        <v>15</v>
      </c>
      <c r="C2" s="12" t="s">
        <v>16</v>
      </c>
      <c r="D2" s="13" t="s">
        <v>17</v>
      </c>
      <c r="E2" s="11">
        <v>1</v>
      </c>
    </row>
    <row r="3" spans="1:5" ht="16.5" x14ac:dyDescent="0.25">
      <c r="A3" s="11">
        <v>2</v>
      </c>
      <c r="B3" s="12" t="s">
        <v>18</v>
      </c>
      <c r="C3" s="12" t="s">
        <v>19</v>
      </c>
      <c r="D3" s="13" t="s">
        <v>20</v>
      </c>
      <c r="E3" s="11">
        <v>2</v>
      </c>
    </row>
    <row r="4" spans="1:5" ht="16.5" x14ac:dyDescent="0.25">
      <c r="A4" s="11">
        <v>3</v>
      </c>
      <c r="B4" s="12" t="s">
        <v>21</v>
      </c>
      <c r="C4" s="12" t="s">
        <v>22</v>
      </c>
      <c r="D4" s="13" t="s">
        <v>23</v>
      </c>
      <c r="E4" s="11">
        <v>3</v>
      </c>
    </row>
    <row r="5" spans="1:5" ht="16.5" x14ac:dyDescent="0.25">
      <c r="A5" s="11">
        <v>4</v>
      </c>
      <c r="B5" s="12" t="s">
        <v>24</v>
      </c>
      <c r="C5" s="12" t="s">
        <v>25</v>
      </c>
      <c r="D5" s="13" t="s">
        <v>26</v>
      </c>
      <c r="E5" s="11">
        <v>4</v>
      </c>
    </row>
    <row r="6" spans="1:5" ht="16.5" x14ac:dyDescent="0.25">
      <c r="A6" s="11">
        <v>5</v>
      </c>
      <c r="B6" s="12" t="s">
        <v>27</v>
      </c>
      <c r="C6" s="12" t="s">
        <v>28</v>
      </c>
      <c r="D6" s="13" t="s">
        <v>29</v>
      </c>
      <c r="E6" s="11">
        <v>5</v>
      </c>
    </row>
    <row r="7" spans="1:5" ht="16.5" x14ac:dyDescent="0.25">
      <c r="A7" s="11">
        <v>6</v>
      </c>
      <c r="B7" s="12" t="s">
        <v>30</v>
      </c>
      <c r="C7" s="12" t="s">
        <v>31</v>
      </c>
      <c r="D7" s="13" t="s">
        <v>32</v>
      </c>
      <c r="E7" s="11">
        <v>6</v>
      </c>
    </row>
    <row r="8" spans="1:5" ht="16.5" x14ac:dyDescent="0.25">
      <c r="A8" s="11">
        <v>7</v>
      </c>
      <c r="B8" s="12" t="s">
        <v>33</v>
      </c>
      <c r="C8" s="12" t="s">
        <v>34</v>
      </c>
      <c r="D8" s="13" t="s">
        <v>35</v>
      </c>
      <c r="E8" s="11">
        <v>7</v>
      </c>
    </row>
    <row r="9" spans="1:5" ht="16.5" x14ac:dyDescent="0.25">
      <c r="A9" s="11">
        <v>8</v>
      </c>
      <c r="B9" s="12" t="s">
        <v>36</v>
      </c>
      <c r="C9" s="12" t="s">
        <v>37</v>
      </c>
      <c r="D9" s="13" t="s">
        <v>38</v>
      </c>
      <c r="E9" s="11">
        <v>8</v>
      </c>
    </row>
    <row r="10" spans="1:5" ht="33" x14ac:dyDescent="0.25">
      <c r="A10" s="11">
        <v>9</v>
      </c>
      <c r="B10" s="12" t="s">
        <v>39</v>
      </c>
      <c r="C10" s="12" t="s">
        <v>40</v>
      </c>
      <c r="D10" s="13" t="s">
        <v>41</v>
      </c>
      <c r="E10" s="11">
        <v>9</v>
      </c>
    </row>
    <row r="11" spans="1:5" ht="16.5" x14ac:dyDescent="0.25">
      <c r="A11" s="11">
        <v>10</v>
      </c>
      <c r="B11" s="12" t="s">
        <v>42</v>
      </c>
      <c r="C11" s="12" t="s">
        <v>43</v>
      </c>
      <c r="D11" s="13" t="s">
        <v>44</v>
      </c>
      <c r="E11" s="11">
        <v>10</v>
      </c>
    </row>
    <row r="12" spans="1:5" ht="33" x14ac:dyDescent="0.25">
      <c r="A12" s="11">
        <v>11</v>
      </c>
      <c r="B12" s="12" t="s">
        <v>45</v>
      </c>
      <c r="C12" s="12" t="s">
        <v>46</v>
      </c>
      <c r="D12" s="13" t="s">
        <v>47</v>
      </c>
      <c r="E12" s="11">
        <v>11</v>
      </c>
    </row>
    <row r="13" spans="1:5" ht="33.75" thickBot="1" x14ac:dyDescent="0.3">
      <c r="A13" s="14">
        <v>12</v>
      </c>
      <c r="B13" s="15" t="s">
        <v>48</v>
      </c>
      <c r="C13" s="15" t="s">
        <v>49</v>
      </c>
      <c r="D13" s="16" t="s">
        <v>50</v>
      </c>
      <c r="E13" s="1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999990d52bcb800de266f9ae0c5e1bea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b523bf099fe5ea082b8d474a5f0baa0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EB171B-30DE-4E46-B7CF-4504310A00D4}">
  <ds:schemaRefs>
    <ds:schemaRef ds:uri="http://schemas.microsoft.com/office/2006/metadata/properties"/>
    <ds:schemaRef ds:uri="http://schemas.microsoft.com/office/infopath/2007/PartnerControls"/>
    <ds:schemaRef ds:uri="df062920-4020-40dc-9015-c52fc1b6f476"/>
    <ds:schemaRef ds:uri="72e9f21c-8664-4aad-aa68-4f5e72fc5d7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A681DE8-2B13-4637-A062-D60A964187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60B45-A3BB-4A9C-8FA1-ADADEA28B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Órdenes_Mixta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Alejandra Tascón Velasco</cp:lastModifiedBy>
  <dcterms:created xsi:type="dcterms:W3CDTF">2012-01-31T20:20:11Z</dcterms:created>
  <dcterms:modified xsi:type="dcterms:W3CDTF">2025-11-13T23:02:41Z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