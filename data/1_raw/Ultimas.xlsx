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minuto0-my.sharepoint.com/personal/jhon_tascon_uniminuto_edu/Documents/Documentos/GitHub/bot_futuros/data/1_raw/"/>
    </mc:Choice>
  </mc:AlternateContent>
  <xr:revisionPtr revIDLastSave="36" documentId="13_ncr:1_{AB835458-3EDA-40DD-89C5-D4BE41759EE0}" xr6:coauthVersionLast="47" xr6:coauthVersionMax="47" xr10:uidLastSave="{814B5E17-E535-42C8-82BB-4380DFC87A31}"/>
  <bookViews>
    <workbookView xWindow="-120" yWindow="-120" windowWidth="19440" windowHeight="15000" xr2:uid="{CB94E36F-ED36-4828-B896-BAF384ACAF5A}"/>
  </bookViews>
  <sheets>
    <sheet name="Negociaciones" sheetId="1" r:id="rId1"/>
    <sheet name="Hoja1" sheetId="4" state="hidden" r:id="rId2"/>
    <sheet name="Resumen" sheetId="3" r:id="rId3"/>
  </sheets>
  <definedNames>
    <definedName name="_xlnm._FilterDatabase" localSheetId="0" hidden="1">Negociaciones!$A$1:$J$294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3" l="1"/>
  <c r="B28" i="3"/>
  <c r="D27" i="3"/>
  <c r="D26" i="3"/>
  <c r="D25" i="3"/>
  <c r="D24" i="3"/>
  <c r="D23" i="3"/>
  <c r="D22" i="3"/>
  <c r="D21" i="3"/>
  <c r="D20" i="3"/>
  <c r="D19" i="3"/>
  <c r="B17" i="3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D14" i="3"/>
  <c r="D13" i="3"/>
  <c r="D12" i="3"/>
  <c r="D11" i="3"/>
  <c r="D10" i="3"/>
  <c r="D9" i="3"/>
  <c r="D8" i="3"/>
  <c r="B15" i="3"/>
  <c r="B4" i="3"/>
  <c r="B5" i="3" s="1"/>
  <c r="B6" i="3" s="1"/>
  <c r="B7" i="3" s="1"/>
  <c r="B8" i="3" s="1"/>
  <c r="B9" i="3" s="1"/>
  <c r="B10" i="3" s="1"/>
  <c r="B11" i="3" s="1"/>
  <c r="B12" i="3" s="1"/>
  <c r="B13" i="3" s="1"/>
  <c r="B14" i="3" s="1"/>
  <c r="E6" i="4"/>
  <c r="D18" i="3" l="1"/>
  <c r="D17" i="3"/>
  <c r="D16" i="3"/>
  <c r="C15" i="3"/>
  <c r="D7" i="3"/>
  <c r="D6" i="3"/>
  <c r="D5" i="3"/>
  <c r="D4" i="3"/>
  <c r="D3" i="3"/>
  <c r="D28" i="3" l="1"/>
  <c r="D15" i="3"/>
</calcChain>
</file>

<file path=xl/sharedStrings.xml><?xml version="1.0" encoding="utf-8"?>
<sst xmlns="http://schemas.openxmlformats.org/spreadsheetml/2006/main" count="1188" uniqueCount="52">
  <si>
    <t>Fecha</t>
  </si>
  <si>
    <t>Contrato</t>
  </si>
  <si>
    <t>Mes contrato</t>
  </si>
  <si>
    <t>Cantidad</t>
  </si>
  <si>
    <t>Precio</t>
  </si>
  <si>
    <t>Carga total kWh</t>
  </si>
  <si>
    <t>Mes</t>
  </si>
  <si>
    <t>kWh - mes</t>
  </si>
  <si>
    <t>GWh - mes</t>
  </si>
  <si>
    <t>Total energía negociada</t>
  </si>
  <si>
    <t>Transaccional</t>
  </si>
  <si>
    <t>Registro</t>
  </si>
  <si>
    <t>ELMF25F</t>
  </si>
  <si>
    <t>ELMG25F</t>
  </si>
  <si>
    <t>ELMH25F</t>
  </si>
  <si>
    <t>ELMJ25F</t>
  </si>
  <si>
    <t>ELMK25F</t>
  </si>
  <si>
    <t>ELMM25F</t>
  </si>
  <si>
    <t>ELMN25F</t>
  </si>
  <si>
    <t>ELMQ25F</t>
  </si>
  <si>
    <t>ELMU25F</t>
  </si>
  <si>
    <t>ELMV25F</t>
  </si>
  <si>
    <t>ELMX25F</t>
  </si>
  <si>
    <t>ELMZ25F</t>
  </si>
  <si>
    <t>Monto</t>
  </si>
  <si>
    <t>Convocatoria</t>
  </si>
  <si>
    <t>Sesión de negociación</t>
  </si>
  <si>
    <t>Instrumento</t>
  </si>
  <si>
    <t>ELM</t>
  </si>
  <si>
    <t>ELS</t>
  </si>
  <si>
    <t>DTB</t>
  </si>
  <si>
    <t>ELMM28F</t>
  </si>
  <si>
    <t>ELMN28F</t>
  </si>
  <si>
    <t>ELMQ28F</t>
  </si>
  <si>
    <t>DTBH25F</t>
  </si>
  <si>
    <t>Negociación en bloque</t>
  </si>
  <si>
    <t>SI</t>
  </si>
  <si>
    <t>NO</t>
  </si>
  <si>
    <t>ELSQ25F</t>
  </si>
  <si>
    <t>DTBU25F</t>
  </si>
  <si>
    <t>ELMF26F</t>
  </si>
  <si>
    <t>ELMG26F</t>
  </si>
  <si>
    <t>ELMH26F</t>
  </si>
  <si>
    <t>ELMJ26F</t>
  </si>
  <si>
    <t>ELMK26F</t>
  </si>
  <si>
    <t>ELMM26F</t>
  </si>
  <si>
    <t>ELMN26F</t>
  </si>
  <si>
    <t>ELMQ26F</t>
  </si>
  <si>
    <t>ELMU26F</t>
  </si>
  <si>
    <t>ELMV26F</t>
  </si>
  <si>
    <t>ELMX26F</t>
  </si>
  <si>
    <t>ELMZ26F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</si>
</sst>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$&quot;\ * #,##0.00_-;\-&quot;$&quot;\ * #,##0.00_-;_-&quot;$&quot;\ * &quot;-&quot;??_-;_-@_-"/>
    <numFmt numFmtId="164" formatCode="_(* #,##0.00_);_(* \(#,##0.00\);_(* &quot;-&quot;??_);_(@_)"/>
    <numFmt numFmtId="165" formatCode="_-* #,##0.00_-;\-* #,##0.00_-;_-* &quot;-&quot;_-;_-@_-"/>
    <numFmt numFmtId="166" formatCode="mmm\ yy"/>
    <numFmt numFmtId="167" formatCode="mmm\ yyyy"/>
    <numFmt numFmtId="168" formatCode="_-&quot;$&quot;\ * #,##0_-;\-&quot;$&quot;\ * #,##0_-;_-&quot;$&quot;\ 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0"/>
      <name val="MS Sans Serif"/>
    </font>
    <font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4" fillId="0" borderId="0"/>
    <xf numFmtId="44" fontId="1" fillId="0" borderId="0" applyFont="0" applyFill="0" applyBorder="0" applyAlignment="0" applyProtection="0"/>
    <xf numFmtId="0" fontId="5" fillId="0" borderId="0"/>
  </cellStyleXfs>
  <cellXfs count="34">
    <xf numFmtId="0" fontId="0" fillId="0" borderId="0" xfId="0"/>
    <xf numFmtId="1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1" fontId="0" fillId="0" borderId="0" xfId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41" fontId="0" fillId="0" borderId="1" xfId="1" applyFont="1" applyBorder="1"/>
    <xf numFmtId="165" fontId="0" fillId="0" borderId="1" xfId="1" applyNumberFormat="1" applyFont="1" applyBorder="1"/>
    <xf numFmtId="167" fontId="0" fillId="0" borderId="1" xfId="0" applyNumberFormat="1" applyBorder="1" applyAlignment="1">
      <alignment horizontal="left"/>
    </xf>
    <xf numFmtId="41" fontId="2" fillId="2" borderId="1" xfId="1" applyFont="1" applyFill="1" applyBorder="1" applyAlignment="1">
      <alignment horizontal="center"/>
    </xf>
    <xf numFmtId="168" fontId="0" fillId="0" borderId="0" xfId="4" applyNumberFormat="1" applyFont="1" applyAlignment="1">
      <alignment horizontal="center" vertical="center"/>
    </xf>
    <xf numFmtId="44" fontId="0" fillId="0" borderId="0" xfId="4" applyFont="1" applyAlignment="1">
      <alignment horizontal="center"/>
    </xf>
    <xf numFmtId="165" fontId="2" fillId="2" borderId="1" xfId="0" applyNumberFormat="1" applyFont="1" applyFill="1" applyBorder="1" applyAlignment="1">
      <alignment horizontal="center"/>
    </xf>
    <xf numFmtId="165" fontId="2" fillId="2" borderId="1" xfId="1" applyNumberFormat="1" applyFont="1" applyFill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6" fontId="0" fillId="0" borderId="1" xfId="0" applyNumberFormat="1" applyBorder="1" applyAlignment="1">
      <alignment horizontal="center"/>
    </xf>
    <xf numFmtId="44" fontId="0" fillId="0" borderId="1" xfId="4" applyFont="1" applyBorder="1" applyAlignment="1">
      <alignment horizontal="center"/>
    </xf>
    <xf numFmtId="168" fontId="0" fillId="0" borderId="1" xfId="4" applyNumberFormat="1" applyFont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49" fontId="2" fillId="2" borderId="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5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166" fontId="0" fillId="0" borderId="6" xfId="0" applyNumberFormat="1" applyBorder="1" applyAlignment="1">
      <alignment horizontal="center"/>
    </xf>
    <xf numFmtId="44" fontId="0" fillId="0" borderId="6" xfId="4" applyFont="1" applyBorder="1" applyAlignment="1">
      <alignment horizontal="center"/>
    </xf>
    <xf numFmtId="168" fontId="0" fillId="0" borderId="6" xfId="4" applyNumberFormat="1" applyFont="1" applyBorder="1" applyAlignment="1">
      <alignment horizontal="center" vertical="center"/>
    </xf>
    <xf numFmtId="41" fontId="0" fillId="0" borderId="6" xfId="1" applyFont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/>
    </xf>
  </cellXfs>
  <cellStyles count="6">
    <cellStyle name="Millares [0]" xfId="1" builtinId="6"/>
    <cellStyle name="Millares 2" xfId="2" xr:uid="{A7253F38-3D92-4118-BC14-1C3BA91BC4AD}"/>
    <cellStyle name="Moneda" xfId="4" builtinId="4"/>
    <cellStyle name="Normal" xfId="0" builtinId="0"/>
    <cellStyle name="Normal 2" xfId="5" xr:uid="{28F00DBE-3C7F-4D90-86E7-70ED267AF34D}"/>
    <cellStyle name="Normal 3" xfId="3" xr:uid="{6ACAB504-E9DC-4385-BBCD-270AA43681C5}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-* #,##0_-;\-* #,##0_-;_-* &quot;-&quot;_-;_-@_-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-* #,##0_-;\-* #,##0_-;_-* &quot;-&quot;_-;_-@_-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-* #,##0_-;\-* #,##0_-;_-* &quot;-&quot;_-;_-@_-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_-&quot;$&quot;\ * #,##0_-;\-&quot;$&quot;\ * #,##0_-;_-&quot;$&quot;\ * &quot;-&quot;??_-;_-@_-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_-&quot;$&quot;\ * #,##0_-;\-&quot;$&quot;\ * #,##0_-;_-&quot;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mmm\ 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6" formatCode="mmm\ 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theme="4" tint="-0.49998474074526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827636-638E-4C82-ACE2-9D0935486ACB}" name="Tabla1" displayName="Tabla1" ref="A1:J294" totalsRowShown="0" headerRowDxfId="23" headerRowBorderDxfId="22" tableBorderDxfId="21" totalsRowBorderDxfId="20">
  <tableColumns count="10">
    <tableColumn id="1" xr3:uid="{7063AE8E-E5C6-4796-8B01-EAC032FA1374}" name="Fecha" dataDxfId="19" totalsRowDxfId="18"/>
    <tableColumn id="2" xr3:uid="{798BF0F3-EF99-42A7-93B8-19C33AD098BF}" name="Instrumento" dataDxfId="17" totalsRowDxfId="16"/>
    <tableColumn id="3" xr3:uid="{AE6BC6E6-A638-4F37-AD56-AFBF68087B85}" name="Contrato" dataDxfId="15" totalsRowDxfId="14"/>
    <tableColumn id="4" xr3:uid="{3B6FDB30-9A6C-4438-8B88-3DB4AA09CCF3}" name="Mes contrato" dataDxfId="13" totalsRowDxfId="12"/>
    <tableColumn id="5" xr3:uid="{4AB5F514-E578-44BB-BC8F-927A54C5AC2A}" name="Precio" dataDxfId="11" totalsRowDxfId="10" dataCellStyle="Moneda"/>
    <tableColumn id="6" xr3:uid="{C15C355F-6AB9-40A8-A2AB-8B65DCE5A022}" name="Cantidad" dataDxfId="9" totalsRowDxfId="8"/>
    <tableColumn id="7" xr3:uid="{F2EA1D54-FA9F-44CD-B05E-291228D9A26D}" name="Monto" dataDxfId="7" totalsRowDxfId="6" dataCellStyle="Moneda"/>
    <tableColumn id="8" xr3:uid="{962E29C1-331E-4D28-B365-226A299C126A}" name="Carga total kWh" dataDxfId="5" totalsRowDxfId="4" dataCellStyle="Millares [0]"/>
    <tableColumn id="10" xr3:uid="{7FB6F786-88BC-4D1B-A3F8-057583424159}" name="Negociación en bloque" dataDxfId="3" totalsRowDxfId="2" dataCellStyle="Millares [0]"/>
    <tableColumn id="9" xr3:uid="{6A4A2042-04C6-46B9-9936-EF2CC406D9F4}" name="Sesión de negociación" dataDxfId="1" totalsRowDxfId="0" dataCellStyle="Millares [0]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ABB93-E799-45D4-A262-C849A93FC623}">
  <dimension ref="A1:XFC294"/>
  <sheetViews>
    <sheetView showGridLines="0" tabSelected="1" zoomScale="115" zoomScaleNormal="115" workbookViewId="0">
      <pane ySplit="1" topLeftCell="A2" activePane="bottomLeft" state="frozen"/>
      <selection pane="bottomLeft" activeCell="I15" sqref="I15"/>
    </sheetView>
  </sheetViews>
  <sheetFormatPr baseColWidth="10" defaultColWidth="0" defaultRowHeight="15" x14ac:dyDescent="0.25"/>
  <cols>
    <col min="1" max="1" width="11.5703125" style="6" customWidth="1"/>
    <col min="2" max="2" width="12" style="6" bestFit="1" customWidth="1"/>
    <col min="3" max="3" width="9.42578125" style="2" bestFit="1" customWidth="1"/>
    <col min="4" max="4" width="8.42578125" style="1" bestFit="1" customWidth="1"/>
    <col min="5" max="5" width="10" style="12" customWidth="1"/>
    <col min="6" max="6" width="8.5703125" style="2" bestFit="1" customWidth="1"/>
    <col min="7" max="7" width="16.5703125" style="11" bestFit="1" customWidth="1"/>
    <col min="8" max="8" width="13.5703125" style="3" customWidth="1"/>
    <col min="9" max="9" width="11.85546875" style="3" bestFit="1" customWidth="1"/>
    <col min="10" max="10" width="14.85546875" style="2" customWidth="1"/>
    <col min="11" max="12" width="0" style="2" hidden="1" customWidth="1"/>
    <col min="13" max="16383" width="11.42578125" style="2" hidden="1"/>
    <col min="16384" max="16384" width="0.5703125" style="2" customWidth="1"/>
  </cols>
  <sheetData>
    <row r="1" spans="1:10" s="25" customFormat="1" ht="30.75" customHeight="1" x14ac:dyDescent="0.25">
      <c r="A1" s="23" t="s">
        <v>0</v>
      </c>
      <c r="B1" s="24" t="s">
        <v>27</v>
      </c>
      <c r="C1" s="24" t="s">
        <v>1</v>
      </c>
      <c r="D1" s="24" t="s">
        <v>2</v>
      </c>
      <c r="E1" s="24" t="s">
        <v>4</v>
      </c>
      <c r="F1" s="24" t="s">
        <v>3</v>
      </c>
      <c r="G1" s="24" t="s">
        <v>24</v>
      </c>
      <c r="H1" s="24" t="s">
        <v>5</v>
      </c>
      <c r="I1" s="24" t="s">
        <v>35</v>
      </c>
      <c r="J1" s="24" t="s">
        <v>26</v>
      </c>
    </row>
    <row r="2" spans="1:10" x14ac:dyDescent="0.25">
      <c r="A2" s="15">
        <v>45674</v>
      </c>
      <c r="B2" s="16" t="s">
        <v>28</v>
      </c>
      <c r="C2" s="17" t="s">
        <v>12</v>
      </c>
      <c r="D2" s="18">
        <v>45658</v>
      </c>
      <c r="E2" s="19">
        <v>420</v>
      </c>
      <c r="F2" s="17">
        <v>2</v>
      </c>
      <c r="G2" s="20">
        <v>302400000</v>
      </c>
      <c r="H2" s="21">
        <v>720000</v>
      </c>
      <c r="I2" s="21" t="s">
        <v>37</v>
      </c>
      <c r="J2" s="21" t="s">
        <v>10</v>
      </c>
    </row>
    <row r="3" spans="1:10" x14ac:dyDescent="0.25">
      <c r="A3" s="15">
        <v>45674</v>
      </c>
      <c r="B3" s="16" t="s">
        <v>28</v>
      </c>
      <c r="C3" s="17" t="s">
        <v>12</v>
      </c>
      <c r="D3" s="18">
        <v>45658</v>
      </c>
      <c r="E3" s="19">
        <v>420</v>
      </c>
      <c r="F3" s="17">
        <v>5</v>
      </c>
      <c r="G3" s="20">
        <v>756000000</v>
      </c>
      <c r="H3" s="21">
        <v>1800000</v>
      </c>
      <c r="I3" s="21" t="s">
        <v>37</v>
      </c>
      <c r="J3" s="21" t="s">
        <v>10</v>
      </c>
    </row>
    <row r="4" spans="1:10" x14ac:dyDescent="0.25">
      <c r="A4" s="15">
        <v>45686</v>
      </c>
      <c r="B4" s="16" t="s">
        <v>28</v>
      </c>
      <c r="C4" s="17" t="s">
        <v>12</v>
      </c>
      <c r="D4" s="18">
        <v>45658</v>
      </c>
      <c r="E4" s="19">
        <v>510</v>
      </c>
      <c r="F4" s="17">
        <v>2</v>
      </c>
      <c r="G4" s="20">
        <v>367200000</v>
      </c>
      <c r="H4" s="21">
        <v>720000</v>
      </c>
      <c r="I4" s="21" t="s">
        <v>37</v>
      </c>
      <c r="J4" s="21" t="s">
        <v>10</v>
      </c>
    </row>
    <row r="5" spans="1:10" x14ac:dyDescent="0.25">
      <c r="A5" s="15">
        <v>45687</v>
      </c>
      <c r="B5" s="16" t="s">
        <v>28</v>
      </c>
      <c r="C5" s="17" t="s">
        <v>12</v>
      </c>
      <c r="D5" s="18">
        <v>45658</v>
      </c>
      <c r="E5" s="19">
        <v>575</v>
      </c>
      <c r="F5" s="17">
        <v>1</v>
      </c>
      <c r="G5" s="20">
        <v>207000000</v>
      </c>
      <c r="H5" s="21">
        <v>360000</v>
      </c>
      <c r="I5" s="21" t="s">
        <v>37</v>
      </c>
      <c r="J5" s="21" t="s">
        <v>10</v>
      </c>
    </row>
    <row r="6" spans="1:10" x14ac:dyDescent="0.25">
      <c r="A6" s="15">
        <v>45687</v>
      </c>
      <c r="B6" s="16" t="s">
        <v>30</v>
      </c>
      <c r="C6" s="17" t="s">
        <v>34</v>
      </c>
      <c r="D6" s="18">
        <v>45717</v>
      </c>
      <c r="E6" s="19">
        <v>600</v>
      </c>
      <c r="F6" s="17">
        <v>1</v>
      </c>
      <c r="G6" s="20">
        <v>90000000</v>
      </c>
      <c r="H6" s="21">
        <v>150000</v>
      </c>
      <c r="I6" s="21" t="s">
        <v>37</v>
      </c>
      <c r="J6" s="21" t="s">
        <v>25</v>
      </c>
    </row>
    <row r="7" spans="1:10" x14ac:dyDescent="0.25">
      <c r="A7" s="15">
        <v>45687</v>
      </c>
      <c r="B7" s="16" t="s">
        <v>28</v>
      </c>
      <c r="C7" s="17" t="s">
        <v>12</v>
      </c>
      <c r="D7" s="18">
        <v>45658</v>
      </c>
      <c r="E7" s="19">
        <v>524.99</v>
      </c>
      <c r="F7" s="17">
        <v>1</v>
      </c>
      <c r="G7" s="20">
        <v>188996400</v>
      </c>
      <c r="H7" s="21">
        <v>360000</v>
      </c>
      <c r="I7" s="21" t="s">
        <v>37</v>
      </c>
      <c r="J7" s="21" t="s">
        <v>25</v>
      </c>
    </row>
    <row r="8" spans="1:10" x14ac:dyDescent="0.25">
      <c r="A8" s="15">
        <v>45687</v>
      </c>
      <c r="B8" s="16" t="s">
        <v>28</v>
      </c>
      <c r="C8" s="17" t="s">
        <v>13</v>
      </c>
      <c r="D8" s="18">
        <v>45689</v>
      </c>
      <c r="E8" s="19">
        <v>600</v>
      </c>
      <c r="F8" s="17">
        <v>1</v>
      </c>
      <c r="G8" s="20">
        <v>216000000</v>
      </c>
      <c r="H8" s="21">
        <v>360000</v>
      </c>
      <c r="I8" s="21" t="s">
        <v>37</v>
      </c>
      <c r="J8" s="21" t="s">
        <v>25</v>
      </c>
    </row>
    <row r="9" spans="1:10" x14ac:dyDescent="0.25">
      <c r="A9" s="15">
        <v>45687</v>
      </c>
      <c r="B9" s="16" t="s">
        <v>28</v>
      </c>
      <c r="C9" s="17" t="s">
        <v>14</v>
      </c>
      <c r="D9" s="18">
        <v>45717</v>
      </c>
      <c r="E9" s="19">
        <v>575</v>
      </c>
      <c r="F9" s="17">
        <v>1</v>
      </c>
      <c r="G9" s="20">
        <v>207000000</v>
      </c>
      <c r="H9" s="21">
        <v>360000</v>
      </c>
      <c r="I9" s="21" t="s">
        <v>37</v>
      </c>
      <c r="J9" s="21" t="s">
        <v>25</v>
      </c>
    </row>
    <row r="10" spans="1:10" x14ac:dyDescent="0.25">
      <c r="A10" s="15">
        <v>45693</v>
      </c>
      <c r="B10" s="16" t="s">
        <v>28</v>
      </c>
      <c r="C10" s="17" t="s">
        <v>13</v>
      </c>
      <c r="D10" s="18">
        <v>45689</v>
      </c>
      <c r="E10" s="19">
        <v>560</v>
      </c>
      <c r="F10" s="17">
        <v>20</v>
      </c>
      <c r="G10" s="20">
        <v>4032000000</v>
      </c>
      <c r="H10" s="21">
        <v>7200000</v>
      </c>
      <c r="I10" s="21" t="s">
        <v>37</v>
      </c>
      <c r="J10" s="21" t="s">
        <v>10</v>
      </c>
    </row>
    <row r="11" spans="1:10" x14ac:dyDescent="0.25">
      <c r="A11" s="15">
        <v>45694</v>
      </c>
      <c r="B11" s="16" t="s">
        <v>28</v>
      </c>
      <c r="C11" s="17" t="s">
        <v>13</v>
      </c>
      <c r="D11" s="18">
        <v>45689</v>
      </c>
      <c r="E11" s="19">
        <v>580</v>
      </c>
      <c r="F11" s="17">
        <v>2</v>
      </c>
      <c r="G11" s="20">
        <v>417600000</v>
      </c>
      <c r="H11" s="21">
        <v>720000</v>
      </c>
      <c r="I11" s="21" t="s">
        <v>37</v>
      </c>
      <c r="J11" s="21" t="s">
        <v>25</v>
      </c>
    </row>
    <row r="12" spans="1:10" x14ac:dyDescent="0.25">
      <c r="A12" s="15">
        <v>45694</v>
      </c>
      <c r="B12" s="16" t="s">
        <v>28</v>
      </c>
      <c r="C12" s="17" t="s">
        <v>13</v>
      </c>
      <c r="D12" s="18">
        <v>45689</v>
      </c>
      <c r="E12" s="19">
        <v>580</v>
      </c>
      <c r="F12" s="17">
        <v>3</v>
      </c>
      <c r="G12" s="20">
        <v>626400000</v>
      </c>
      <c r="H12" s="21">
        <v>1080000</v>
      </c>
      <c r="I12" s="21" t="s">
        <v>37</v>
      </c>
      <c r="J12" s="21" t="s">
        <v>25</v>
      </c>
    </row>
    <row r="13" spans="1:10" x14ac:dyDescent="0.25">
      <c r="A13" s="15">
        <v>45694</v>
      </c>
      <c r="B13" s="16" t="s">
        <v>28</v>
      </c>
      <c r="C13" s="17" t="s">
        <v>14</v>
      </c>
      <c r="D13" s="18">
        <v>45717</v>
      </c>
      <c r="E13" s="19">
        <v>570</v>
      </c>
      <c r="F13" s="17">
        <v>2</v>
      </c>
      <c r="G13" s="20">
        <v>410400000</v>
      </c>
      <c r="H13" s="21">
        <v>720000</v>
      </c>
      <c r="I13" s="21" t="s">
        <v>37</v>
      </c>
      <c r="J13" s="21" t="s">
        <v>25</v>
      </c>
    </row>
    <row r="14" spans="1:10" x14ac:dyDescent="0.25">
      <c r="A14" s="15">
        <v>45695</v>
      </c>
      <c r="B14" s="16" t="s">
        <v>28</v>
      </c>
      <c r="C14" s="17" t="s">
        <v>13</v>
      </c>
      <c r="D14" s="18">
        <v>45689</v>
      </c>
      <c r="E14" s="19">
        <v>560</v>
      </c>
      <c r="F14" s="17">
        <v>10</v>
      </c>
      <c r="G14" s="20">
        <v>2016000000</v>
      </c>
      <c r="H14" s="21">
        <v>3600000</v>
      </c>
      <c r="I14" s="21" t="s">
        <v>37</v>
      </c>
      <c r="J14" s="21" t="s">
        <v>10</v>
      </c>
    </row>
    <row r="15" spans="1:10" x14ac:dyDescent="0.25">
      <c r="A15" s="15">
        <v>45699</v>
      </c>
      <c r="B15" s="16" t="s">
        <v>28</v>
      </c>
      <c r="C15" s="17" t="s">
        <v>14</v>
      </c>
      <c r="D15" s="18">
        <v>45717</v>
      </c>
      <c r="E15" s="19">
        <v>545</v>
      </c>
      <c r="F15" s="17">
        <v>50</v>
      </c>
      <c r="G15" s="20">
        <v>9810000000</v>
      </c>
      <c r="H15" s="21">
        <v>18000000</v>
      </c>
      <c r="I15" s="21" t="s">
        <v>37</v>
      </c>
      <c r="J15" s="21" t="s">
        <v>10</v>
      </c>
    </row>
    <row r="16" spans="1:10" x14ac:dyDescent="0.25">
      <c r="A16" s="15">
        <v>45701</v>
      </c>
      <c r="B16" s="16" t="s">
        <v>28</v>
      </c>
      <c r="C16" s="17" t="s">
        <v>13</v>
      </c>
      <c r="D16" s="18">
        <v>45689</v>
      </c>
      <c r="E16" s="19">
        <v>555</v>
      </c>
      <c r="F16" s="17">
        <v>15</v>
      </c>
      <c r="G16" s="20">
        <v>2997000000</v>
      </c>
      <c r="H16" s="21">
        <v>5400000</v>
      </c>
      <c r="I16" s="21" t="s">
        <v>37</v>
      </c>
      <c r="J16" s="21" t="s">
        <v>10</v>
      </c>
    </row>
    <row r="17" spans="1:10" x14ac:dyDescent="0.25">
      <c r="A17" s="15">
        <v>45702</v>
      </c>
      <c r="B17" s="16" t="s">
        <v>28</v>
      </c>
      <c r="C17" s="17" t="s">
        <v>13</v>
      </c>
      <c r="D17" s="18">
        <v>45689</v>
      </c>
      <c r="E17" s="19">
        <v>555</v>
      </c>
      <c r="F17" s="17">
        <v>25</v>
      </c>
      <c r="G17" s="20">
        <v>4995000000</v>
      </c>
      <c r="H17" s="21">
        <v>9000000</v>
      </c>
      <c r="I17" s="21" t="s">
        <v>37</v>
      </c>
      <c r="J17" s="21" t="s">
        <v>10</v>
      </c>
    </row>
    <row r="18" spans="1:10" x14ac:dyDescent="0.25">
      <c r="A18" s="15">
        <v>45702</v>
      </c>
      <c r="B18" s="16" t="s">
        <v>28</v>
      </c>
      <c r="C18" s="17" t="s">
        <v>13</v>
      </c>
      <c r="D18" s="18">
        <v>45689</v>
      </c>
      <c r="E18" s="19">
        <v>555</v>
      </c>
      <c r="F18" s="17">
        <v>5</v>
      </c>
      <c r="G18" s="20">
        <v>999000000</v>
      </c>
      <c r="H18" s="21">
        <v>1800000</v>
      </c>
      <c r="I18" s="21" t="s">
        <v>37</v>
      </c>
      <c r="J18" s="21" t="s">
        <v>10</v>
      </c>
    </row>
    <row r="19" spans="1:10" x14ac:dyDescent="0.25">
      <c r="A19" s="15">
        <v>45705</v>
      </c>
      <c r="B19" s="16" t="s">
        <v>28</v>
      </c>
      <c r="C19" s="17" t="s">
        <v>13</v>
      </c>
      <c r="D19" s="18">
        <v>45689</v>
      </c>
      <c r="E19" s="19">
        <v>520</v>
      </c>
      <c r="F19" s="17">
        <v>50</v>
      </c>
      <c r="G19" s="20">
        <v>9360000000</v>
      </c>
      <c r="H19" s="21">
        <v>18000000</v>
      </c>
      <c r="I19" s="21" t="s">
        <v>37</v>
      </c>
      <c r="J19" s="21" t="s">
        <v>10</v>
      </c>
    </row>
    <row r="20" spans="1:10" x14ac:dyDescent="0.25">
      <c r="A20" s="15">
        <v>45705</v>
      </c>
      <c r="B20" s="16" t="s">
        <v>28</v>
      </c>
      <c r="C20" s="17" t="s">
        <v>14</v>
      </c>
      <c r="D20" s="18">
        <v>45717</v>
      </c>
      <c r="E20" s="19">
        <v>545</v>
      </c>
      <c r="F20" s="17">
        <v>50</v>
      </c>
      <c r="G20" s="20">
        <v>9810000000</v>
      </c>
      <c r="H20" s="21">
        <v>18000000</v>
      </c>
      <c r="I20" s="21" t="s">
        <v>37</v>
      </c>
      <c r="J20" s="21" t="s">
        <v>10</v>
      </c>
    </row>
    <row r="21" spans="1:10" x14ac:dyDescent="0.25">
      <c r="A21" s="15">
        <v>45709</v>
      </c>
      <c r="B21" s="16" t="s">
        <v>28</v>
      </c>
      <c r="C21" s="17" t="s">
        <v>13</v>
      </c>
      <c r="D21" s="18">
        <v>45689</v>
      </c>
      <c r="E21" s="19">
        <v>450</v>
      </c>
      <c r="F21" s="17">
        <v>30</v>
      </c>
      <c r="G21" s="20">
        <v>4860000000</v>
      </c>
      <c r="H21" s="21">
        <v>10800000</v>
      </c>
      <c r="I21" s="21" t="s">
        <v>37</v>
      </c>
      <c r="J21" s="21" t="s">
        <v>10</v>
      </c>
    </row>
    <row r="22" spans="1:10" x14ac:dyDescent="0.25">
      <c r="A22" s="15">
        <v>45709</v>
      </c>
      <c r="B22" s="16" t="s">
        <v>28</v>
      </c>
      <c r="C22" s="17" t="s">
        <v>14</v>
      </c>
      <c r="D22" s="18">
        <v>45717</v>
      </c>
      <c r="E22" s="19">
        <v>450</v>
      </c>
      <c r="F22" s="17">
        <v>30</v>
      </c>
      <c r="G22" s="20">
        <v>4860000000</v>
      </c>
      <c r="H22" s="21">
        <v>10800000</v>
      </c>
      <c r="I22" s="21" t="s">
        <v>37</v>
      </c>
      <c r="J22" s="21" t="s">
        <v>10</v>
      </c>
    </row>
    <row r="23" spans="1:10" x14ac:dyDescent="0.25">
      <c r="A23" s="15">
        <v>45709</v>
      </c>
      <c r="B23" s="16" t="s">
        <v>28</v>
      </c>
      <c r="C23" s="17" t="s">
        <v>13</v>
      </c>
      <c r="D23" s="18">
        <v>45689</v>
      </c>
      <c r="E23" s="19">
        <v>448.19</v>
      </c>
      <c r="F23" s="17">
        <v>20</v>
      </c>
      <c r="G23" s="20">
        <v>3226968000</v>
      </c>
      <c r="H23" s="21">
        <v>7200000</v>
      </c>
      <c r="I23" s="21" t="s">
        <v>37</v>
      </c>
      <c r="J23" s="21" t="s">
        <v>10</v>
      </c>
    </row>
    <row r="24" spans="1:10" x14ac:dyDescent="0.25">
      <c r="A24" s="15">
        <v>45709</v>
      </c>
      <c r="B24" s="16" t="s">
        <v>28</v>
      </c>
      <c r="C24" s="17" t="s">
        <v>13</v>
      </c>
      <c r="D24" s="18">
        <v>45689</v>
      </c>
      <c r="E24" s="19">
        <v>448.19</v>
      </c>
      <c r="F24" s="17">
        <v>5</v>
      </c>
      <c r="G24" s="20">
        <v>806742000</v>
      </c>
      <c r="H24" s="21">
        <v>1800000</v>
      </c>
      <c r="I24" s="21" t="s">
        <v>37</v>
      </c>
      <c r="J24" s="21" t="s">
        <v>10</v>
      </c>
    </row>
    <row r="25" spans="1:10" x14ac:dyDescent="0.25">
      <c r="A25" s="15">
        <v>45714</v>
      </c>
      <c r="B25" s="16" t="s">
        <v>28</v>
      </c>
      <c r="C25" s="17" t="s">
        <v>13</v>
      </c>
      <c r="D25" s="18">
        <v>45689</v>
      </c>
      <c r="E25" s="19">
        <v>414</v>
      </c>
      <c r="F25" s="17">
        <v>25</v>
      </c>
      <c r="G25" s="20">
        <v>3726000000</v>
      </c>
      <c r="H25" s="21">
        <v>9000000</v>
      </c>
      <c r="I25" s="21" t="s">
        <v>37</v>
      </c>
      <c r="J25" s="21" t="s">
        <v>10</v>
      </c>
    </row>
    <row r="26" spans="1:10" x14ac:dyDescent="0.25">
      <c r="A26" s="15">
        <v>45714</v>
      </c>
      <c r="B26" s="16" t="s">
        <v>28</v>
      </c>
      <c r="C26" s="17" t="s">
        <v>13</v>
      </c>
      <c r="D26" s="18">
        <v>45689</v>
      </c>
      <c r="E26" s="19">
        <v>412</v>
      </c>
      <c r="F26" s="17">
        <v>25</v>
      </c>
      <c r="G26" s="20">
        <v>3708000000</v>
      </c>
      <c r="H26" s="21">
        <v>9000000</v>
      </c>
      <c r="I26" s="21" t="s">
        <v>37</v>
      </c>
      <c r="J26" s="21" t="s">
        <v>10</v>
      </c>
    </row>
    <row r="27" spans="1:10" x14ac:dyDescent="0.25">
      <c r="A27" s="15">
        <v>45736</v>
      </c>
      <c r="B27" s="16" t="s">
        <v>28</v>
      </c>
      <c r="C27" s="17" t="s">
        <v>14</v>
      </c>
      <c r="D27" s="18">
        <v>45717</v>
      </c>
      <c r="E27" s="19">
        <v>275</v>
      </c>
      <c r="F27" s="17">
        <v>13</v>
      </c>
      <c r="G27" s="20">
        <v>1287000000</v>
      </c>
      <c r="H27" s="21">
        <v>4680000</v>
      </c>
      <c r="I27" s="21" t="s">
        <v>37</v>
      </c>
      <c r="J27" s="21" t="s">
        <v>10</v>
      </c>
    </row>
    <row r="28" spans="1:10" x14ac:dyDescent="0.25">
      <c r="A28" s="15">
        <v>45736</v>
      </c>
      <c r="B28" s="16" t="s">
        <v>28</v>
      </c>
      <c r="C28" s="17" t="s">
        <v>14</v>
      </c>
      <c r="D28" s="18">
        <v>45717</v>
      </c>
      <c r="E28" s="19">
        <v>275</v>
      </c>
      <c r="F28" s="17">
        <v>1</v>
      </c>
      <c r="G28" s="20">
        <v>99000000</v>
      </c>
      <c r="H28" s="21">
        <v>360000</v>
      </c>
      <c r="I28" s="21" t="s">
        <v>37</v>
      </c>
      <c r="J28" s="21" t="s">
        <v>10</v>
      </c>
    </row>
    <row r="29" spans="1:10" x14ac:dyDescent="0.25">
      <c r="A29" s="15">
        <v>45736</v>
      </c>
      <c r="B29" s="16" t="s">
        <v>28</v>
      </c>
      <c r="C29" s="17" t="s">
        <v>14</v>
      </c>
      <c r="D29" s="18">
        <v>45717</v>
      </c>
      <c r="E29" s="19">
        <v>275</v>
      </c>
      <c r="F29" s="17">
        <v>5</v>
      </c>
      <c r="G29" s="20">
        <v>495000000</v>
      </c>
      <c r="H29" s="21">
        <v>1800000</v>
      </c>
      <c r="I29" s="21" t="s">
        <v>37</v>
      </c>
      <c r="J29" s="21" t="s">
        <v>10</v>
      </c>
    </row>
    <row r="30" spans="1:10" x14ac:dyDescent="0.25">
      <c r="A30" s="15">
        <v>45736</v>
      </c>
      <c r="B30" s="16" t="s">
        <v>28</v>
      </c>
      <c r="C30" s="17" t="s">
        <v>14</v>
      </c>
      <c r="D30" s="18">
        <v>45717</v>
      </c>
      <c r="E30" s="19">
        <v>290</v>
      </c>
      <c r="F30" s="17">
        <v>5</v>
      </c>
      <c r="G30" s="20">
        <v>522000000</v>
      </c>
      <c r="H30" s="21">
        <v>1800000</v>
      </c>
      <c r="I30" s="21" t="s">
        <v>37</v>
      </c>
      <c r="J30" s="21" t="s">
        <v>10</v>
      </c>
    </row>
    <row r="31" spans="1:10" x14ac:dyDescent="0.25">
      <c r="A31" s="15">
        <v>45741</v>
      </c>
      <c r="B31" s="16" t="s">
        <v>28</v>
      </c>
      <c r="C31" s="17" t="s">
        <v>14</v>
      </c>
      <c r="D31" s="18">
        <v>45717</v>
      </c>
      <c r="E31" s="19">
        <v>240</v>
      </c>
      <c r="F31" s="17">
        <v>1</v>
      </c>
      <c r="G31" s="20">
        <v>86400000</v>
      </c>
      <c r="H31" s="21">
        <v>360000</v>
      </c>
      <c r="I31" s="21" t="s">
        <v>37</v>
      </c>
      <c r="J31" s="21" t="s">
        <v>10</v>
      </c>
    </row>
    <row r="32" spans="1:10" x14ac:dyDescent="0.25">
      <c r="A32" s="15">
        <v>45742</v>
      </c>
      <c r="B32" s="16" t="s">
        <v>28</v>
      </c>
      <c r="C32" s="17" t="s">
        <v>14</v>
      </c>
      <c r="D32" s="18">
        <v>45717</v>
      </c>
      <c r="E32" s="19">
        <v>216.98</v>
      </c>
      <c r="F32" s="17">
        <v>15</v>
      </c>
      <c r="G32" s="20">
        <v>1171692000</v>
      </c>
      <c r="H32" s="21">
        <v>5400000</v>
      </c>
      <c r="I32" s="21" t="s">
        <v>37</v>
      </c>
      <c r="J32" s="21" t="s">
        <v>10</v>
      </c>
    </row>
    <row r="33" spans="1:13" x14ac:dyDescent="0.25">
      <c r="A33" s="15">
        <v>45743</v>
      </c>
      <c r="B33" s="16" t="s">
        <v>28</v>
      </c>
      <c r="C33" s="17" t="s">
        <v>17</v>
      </c>
      <c r="D33" s="18">
        <v>45809</v>
      </c>
      <c r="E33" s="19">
        <v>340</v>
      </c>
      <c r="F33" s="17">
        <v>4</v>
      </c>
      <c r="G33" s="20">
        <v>489600000</v>
      </c>
      <c r="H33" s="21">
        <v>1440000</v>
      </c>
      <c r="I33" s="21" t="s">
        <v>37</v>
      </c>
      <c r="J33" s="21" t="s">
        <v>10</v>
      </c>
    </row>
    <row r="34" spans="1:13" x14ac:dyDescent="0.25">
      <c r="A34" s="15">
        <v>45743</v>
      </c>
      <c r="B34" s="16" t="s">
        <v>28</v>
      </c>
      <c r="C34" s="17" t="s">
        <v>18</v>
      </c>
      <c r="D34" s="18">
        <v>45839</v>
      </c>
      <c r="E34" s="19">
        <v>340</v>
      </c>
      <c r="F34" s="17">
        <v>4</v>
      </c>
      <c r="G34" s="20">
        <v>489600000</v>
      </c>
      <c r="H34" s="21">
        <v>1440000</v>
      </c>
      <c r="I34" s="21" t="s">
        <v>37</v>
      </c>
      <c r="J34" s="21" t="s">
        <v>10</v>
      </c>
    </row>
    <row r="35" spans="1:13" x14ac:dyDescent="0.25">
      <c r="A35" s="15">
        <v>45743</v>
      </c>
      <c r="B35" s="16" t="s">
        <v>28</v>
      </c>
      <c r="C35" s="17" t="s">
        <v>19</v>
      </c>
      <c r="D35" s="18">
        <v>45870</v>
      </c>
      <c r="E35" s="19">
        <v>340</v>
      </c>
      <c r="F35" s="17">
        <v>4</v>
      </c>
      <c r="G35" s="20">
        <v>489600000</v>
      </c>
      <c r="H35" s="21">
        <v>1440000</v>
      </c>
      <c r="I35" s="21" t="s">
        <v>37</v>
      </c>
      <c r="J35" s="21" t="s">
        <v>25</v>
      </c>
    </row>
    <row r="36" spans="1:13" x14ac:dyDescent="0.25">
      <c r="A36" s="15">
        <v>45754</v>
      </c>
      <c r="B36" s="16" t="s">
        <v>28</v>
      </c>
      <c r="C36" s="17" t="s">
        <v>16</v>
      </c>
      <c r="D36" s="18">
        <v>45778</v>
      </c>
      <c r="E36" s="19">
        <v>305</v>
      </c>
      <c r="F36" s="17">
        <v>10</v>
      </c>
      <c r="G36" s="20">
        <v>1098000000</v>
      </c>
      <c r="H36" s="21">
        <v>3600000</v>
      </c>
      <c r="I36" s="21" t="s">
        <v>37</v>
      </c>
      <c r="J36" s="21" t="s">
        <v>10</v>
      </c>
    </row>
    <row r="37" spans="1:13" x14ac:dyDescent="0.25">
      <c r="A37" s="15">
        <v>45757</v>
      </c>
      <c r="B37" s="16" t="s">
        <v>28</v>
      </c>
      <c r="C37" s="17" t="s">
        <v>16</v>
      </c>
      <c r="D37" s="18">
        <v>45778</v>
      </c>
      <c r="E37" s="19">
        <v>300</v>
      </c>
      <c r="F37" s="17">
        <v>6</v>
      </c>
      <c r="G37" s="20">
        <v>648000000</v>
      </c>
      <c r="H37" s="21">
        <v>2160000</v>
      </c>
      <c r="I37" s="21" t="s">
        <v>37</v>
      </c>
      <c r="J37" s="21" t="s">
        <v>10</v>
      </c>
      <c r="K37" s="22">
        <v>2160000</v>
      </c>
      <c r="L37" s="1">
        <v>45748</v>
      </c>
      <c r="M37" s="2" t="s">
        <v>10</v>
      </c>
    </row>
    <row r="38" spans="1:13" x14ac:dyDescent="0.25">
      <c r="A38" s="15">
        <v>45757</v>
      </c>
      <c r="B38" s="16" t="s">
        <v>28</v>
      </c>
      <c r="C38" s="17" t="s">
        <v>20</v>
      </c>
      <c r="D38" s="18">
        <v>45901</v>
      </c>
      <c r="E38" s="19">
        <v>350</v>
      </c>
      <c r="F38" s="17">
        <v>5</v>
      </c>
      <c r="G38" s="20">
        <v>630000000</v>
      </c>
      <c r="H38" s="21">
        <v>1800000</v>
      </c>
      <c r="I38" s="21" t="s">
        <v>37</v>
      </c>
      <c r="J38" s="21" t="s">
        <v>10</v>
      </c>
      <c r="K38" s="22">
        <v>1800000</v>
      </c>
      <c r="L38" s="1">
        <v>45748</v>
      </c>
      <c r="M38" s="2" t="s">
        <v>10</v>
      </c>
    </row>
    <row r="39" spans="1:13" x14ac:dyDescent="0.25">
      <c r="A39" s="15">
        <v>45757</v>
      </c>
      <c r="B39" s="16" t="s">
        <v>28</v>
      </c>
      <c r="C39" s="17" t="s">
        <v>17</v>
      </c>
      <c r="D39" s="18">
        <v>45809</v>
      </c>
      <c r="E39" s="19">
        <v>300</v>
      </c>
      <c r="F39" s="17">
        <v>10</v>
      </c>
      <c r="G39" s="20">
        <v>1080000000</v>
      </c>
      <c r="H39" s="21">
        <v>3600000</v>
      </c>
      <c r="I39" s="21" t="s">
        <v>37</v>
      </c>
      <c r="J39" s="21" t="s">
        <v>10</v>
      </c>
    </row>
    <row r="40" spans="1:13" x14ac:dyDescent="0.25">
      <c r="A40" s="15">
        <v>45757</v>
      </c>
      <c r="B40" s="16" t="s">
        <v>28</v>
      </c>
      <c r="C40" s="17" t="s">
        <v>18</v>
      </c>
      <c r="D40" s="18">
        <v>45839</v>
      </c>
      <c r="E40" s="19">
        <v>300</v>
      </c>
      <c r="F40" s="17">
        <v>5</v>
      </c>
      <c r="G40" s="20">
        <v>540000000</v>
      </c>
      <c r="H40" s="21">
        <v>1800000</v>
      </c>
      <c r="I40" s="21" t="s">
        <v>37</v>
      </c>
      <c r="J40" s="21" t="s">
        <v>10</v>
      </c>
    </row>
    <row r="41" spans="1:13" x14ac:dyDescent="0.25">
      <c r="A41" s="15">
        <v>45757</v>
      </c>
      <c r="B41" s="16" t="s">
        <v>28</v>
      </c>
      <c r="C41" s="17" t="s">
        <v>19</v>
      </c>
      <c r="D41" s="18">
        <v>45870</v>
      </c>
      <c r="E41" s="19">
        <v>310</v>
      </c>
      <c r="F41" s="17">
        <v>5</v>
      </c>
      <c r="G41" s="20">
        <v>558000000</v>
      </c>
      <c r="H41" s="21">
        <v>1800000</v>
      </c>
      <c r="I41" s="21" t="s">
        <v>37</v>
      </c>
      <c r="J41" s="21" t="s">
        <v>10</v>
      </c>
    </row>
    <row r="42" spans="1:13" x14ac:dyDescent="0.25">
      <c r="A42" s="15">
        <v>45761</v>
      </c>
      <c r="B42" s="16" t="s">
        <v>28</v>
      </c>
      <c r="C42" s="17" t="s">
        <v>15</v>
      </c>
      <c r="D42" s="18">
        <v>45748</v>
      </c>
      <c r="E42" s="19">
        <v>250</v>
      </c>
      <c r="F42" s="17">
        <v>37</v>
      </c>
      <c r="G42" s="20">
        <v>3330000000</v>
      </c>
      <c r="H42" s="21">
        <v>13320000</v>
      </c>
      <c r="I42" s="21" t="s">
        <v>37</v>
      </c>
      <c r="J42" s="21" t="s">
        <v>10</v>
      </c>
    </row>
    <row r="43" spans="1:13" x14ac:dyDescent="0.25">
      <c r="A43" s="15">
        <v>45761</v>
      </c>
      <c r="B43" s="16" t="s">
        <v>28</v>
      </c>
      <c r="C43" s="17" t="s">
        <v>16</v>
      </c>
      <c r="D43" s="18">
        <v>45778</v>
      </c>
      <c r="E43" s="19">
        <v>300</v>
      </c>
      <c r="F43" s="17">
        <v>20</v>
      </c>
      <c r="G43" s="20">
        <v>2160000000</v>
      </c>
      <c r="H43" s="21">
        <v>7200000</v>
      </c>
      <c r="I43" s="21" t="s">
        <v>37</v>
      </c>
      <c r="J43" s="21" t="s">
        <v>10</v>
      </c>
    </row>
    <row r="44" spans="1:13" x14ac:dyDescent="0.25">
      <c r="A44" s="15">
        <v>45768</v>
      </c>
      <c r="B44" s="16" t="s">
        <v>28</v>
      </c>
      <c r="C44" s="17" t="s">
        <v>15</v>
      </c>
      <c r="D44" s="18">
        <v>45748</v>
      </c>
      <c r="E44" s="19">
        <v>180</v>
      </c>
      <c r="F44" s="17">
        <v>11</v>
      </c>
      <c r="G44" s="20">
        <v>712800000</v>
      </c>
      <c r="H44" s="21">
        <v>3960000</v>
      </c>
      <c r="I44" s="21" t="s">
        <v>37</v>
      </c>
      <c r="J44" s="21" t="s">
        <v>10</v>
      </c>
    </row>
    <row r="45" spans="1:13" x14ac:dyDescent="0.25">
      <c r="A45" s="15">
        <v>45770</v>
      </c>
      <c r="B45" s="16" t="s">
        <v>28</v>
      </c>
      <c r="C45" s="17" t="s">
        <v>15</v>
      </c>
      <c r="D45" s="18">
        <v>45748</v>
      </c>
      <c r="E45" s="19">
        <v>127</v>
      </c>
      <c r="F45" s="17">
        <v>15</v>
      </c>
      <c r="G45" s="20">
        <v>685800000</v>
      </c>
      <c r="H45" s="21">
        <v>5400000</v>
      </c>
      <c r="I45" s="21" t="s">
        <v>37</v>
      </c>
      <c r="J45" s="21" t="s">
        <v>10</v>
      </c>
    </row>
    <row r="46" spans="1:13" x14ac:dyDescent="0.25">
      <c r="A46" s="15">
        <v>45772</v>
      </c>
      <c r="B46" s="16" t="s">
        <v>28</v>
      </c>
      <c r="C46" s="17" t="s">
        <v>15</v>
      </c>
      <c r="D46" s="18">
        <v>45748</v>
      </c>
      <c r="E46" s="19">
        <v>155</v>
      </c>
      <c r="F46" s="17">
        <v>8</v>
      </c>
      <c r="G46" s="20">
        <v>446400000</v>
      </c>
      <c r="H46" s="21">
        <v>2880000</v>
      </c>
      <c r="I46" s="21" t="s">
        <v>37</v>
      </c>
      <c r="J46" s="21" t="s">
        <v>10</v>
      </c>
    </row>
    <row r="47" spans="1:13" x14ac:dyDescent="0.25">
      <c r="A47" s="15">
        <v>45776</v>
      </c>
      <c r="B47" s="16" t="s">
        <v>28</v>
      </c>
      <c r="C47" s="17" t="s">
        <v>21</v>
      </c>
      <c r="D47" s="18">
        <v>45931</v>
      </c>
      <c r="E47" s="19">
        <v>370</v>
      </c>
      <c r="F47" s="17">
        <v>2</v>
      </c>
      <c r="G47" s="20">
        <v>266400000</v>
      </c>
      <c r="H47" s="21">
        <v>720000</v>
      </c>
      <c r="I47" s="21" t="s">
        <v>37</v>
      </c>
      <c r="J47" s="21" t="s">
        <v>10</v>
      </c>
    </row>
    <row r="48" spans="1:13" x14ac:dyDescent="0.25">
      <c r="A48" s="15">
        <v>45776</v>
      </c>
      <c r="B48" s="16" t="s">
        <v>28</v>
      </c>
      <c r="C48" s="17" t="s">
        <v>22</v>
      </c>
      <c r="D48" s="18">
        <v>45962</v>
      </c>
      <c r="E48" s="19">
        <v>370</v>
      </c>
      <c r="F48" s="17">
        <v>6</v>
      </c>
      <c r="G48" s="20">
        <v>799200000</v>
      </c>
      <c r="H48" s="21">
        <v>2160000</v>
      </c>
      <c r="I48" s="21" t="s">
        <v>37</v>
      </c>
      <c r="J48" s="21" t="s">
        <v>10</v>
      </c>
    </row>
    <row r="49" spans="1:10" x14ac:dyDescent="0.25">
      <c r="A49" s="15">
        <v>45776</v>
      </c>
      <c r="B49" s="16" t="s">
        <v>28</v>
      </c>
      <c r="C49" s="17" t="s">
        <v>23</v>
      </c>
      <c r="D49" s="18">
        <v>45992</v>
      </c>
      <c r="E49" s="19">
        <v>360</v>
      </c>
      <c r="F49" s="17">
        <v>6</v>
      </c>
      <c r="G49" s="20">
        <v>777600000</v>
      </c>
      <c r="H49" s="21">
        <v>2160000</v>
      </c>
      <c r="I49" s="21" t="s">
        <v>37</v>
      </c>
      <c r="J49" s="21" t="s">
        <v>10</v>
      </c>
    </row>
    <row r="50" spans="1:10" x14ac:dyDescent="0.25">
      <c r="A50" s="15">
        <v>45776</v>
      </c>
      <c r="B50" s="16" t="s">
        <v>28</v>
      </c>
      <c r="C50" s="17" t="s">
        <v>15</v>
      </c>
      <c r="D50" s="18">
        <v>45748</v>
      </c>
      <c r="E50" s="19">
        <v>142.99</v>
      </c>
      <c r="F50" s="17">
        <v>16</v>
      </c>
      <c r="G50" s="20">
        <v>823622400</v>
      </c>
      <c r="H50" s="21">
        <v>5760000</v>
      </c>
      <c r="I50" s="21" t="s">
        <v>37</v>
      </c>
      <c r="J50" s="21" t="s">
        <v>10</v>
      </c>
    </row>
    <row r="51" spans="1:10" x14ac:dyDescent="0.25">
      <c r="A51" s="15">
        <v>45776</v>
      </c>
      <c r="B51" s="16" t="s">
        <v>28</v>
      </c>
      <c r="C51" s="17" t="s">
        <v>16</v>
      </c>
      <c r="D51" s="18">
        <v>45778</v>
      </c>
      <c r="E51" s="19">
        <v>229.99</v>
      </c>
      <c r="F51" s="17">
        <v>10</v>
      </c>
      <c r="G51" s="20">
        <v>827964000</v>
      </c>
      <c r="H51" s="21">
        <v>3600000</v>
      </c>
      <c r="I51" s="21" t="s">
        <v>37</v>
      </c>
      <c r="J51" s="21" t="s">
        <v>10</v>
      </c>
    </row>
    <row r="52" spans="1:10" x14ac:dyDescent="0.25">
      <c r="A52" s="15">
        <v>45785</v>
      </c>
      <c r="B52" s="16" t="s">
        <v>28</v>
      </c>
      <c r="C52" s="17" t="s">
        <v>19</v>
      </c>
      <c r="D52" s="18">
        <v>45870</v>
      </c>
      <c r="E52" s="19">
        <v>290</v>
      </c>
      <c r="F52" s="17">
        <v>1</v>
      </c>
      <c r="G52" s="20">
        <v>104400000</v>
      </c>
      <c r="H52" s="21">
        <v>360000</v>
      </c>
      <c r="I52" s="21" t="s">
        <v>37</v>
      </c>
      <c r="J52" s="21" t="s">
        <v>25</v>
      </c>
    </row>
    <row r="53" spans="1:10" x14ac:dyDescent="0.25">
      <c r="A53" s="15">
        <v>45790</v>
      </c>
      <c r="B53" s="16" t="s">
        <v>28</v>
      </c>
      <c r="C53" s="17" t="s">
        <v>19</v>
      </c>
      <c r="D53" s="18">
        <v>45870</v>
      </c>
      <c r="E53" s="19">
        <v>288</v>
      </c>
      <c r="F53" s="17">
        <v>5</v>
      </c>
      <c r="G53" s="20">
        <v>518400000</v>
      </c>
      <c r="H53" s="21">
        <v>1800000</v>
      </c>
      <c r="I53" s="21" t="s">
        <v>37</v>
      </c>
      <c r="J53" s="21" t="s">
        <v>10</v>
      </c>
    </row>
    <row r="54" spans="1:10" x14ac:dyDescent="0.25">
      <c r="A54" s="15">
        <v>45790</v>
      </c>
      <c r="B54" s="16" t="s">
        <v>28</v>
      </c>
      <c r="C54" s="17" t="s">
        <v>19</v>
      </c>
      <c r="D54" s="18">
        <v>45870</v>
      </c>
      <c r="E54" s="19">
        <v>288</v>
      </c>
      <c r="F54" s="17">
        <v>5</v>
      </c>
      <c r="G54" s="20">
        <v>518400000</v>
      </c>
      <c r="H54" s="21">
        <v>1800000</v>
      </c>
      <c r="I54" s="21" t="s">
        <v>37</v>
      </c>
      <c r="J54" s="21" t="s">
        <v>10</v>
      </c>
    </row>
    <row r="55" spans="1:10" x14ac:dyDescent="0.25">
      <c r="A55" s="15">
        <v>45793</v>
      </c>
      <c r="B55" s="16" t="s">
        <v>28</v>
      </c>
      <c r="C55" s="17" t="s">
        <v>19</v>
      </c>
      <c r="D55" s="18">
        <v>45870</v>
      </c>
      <c r="E55" s="19">
        <v>280</v>
      </c>
      <c r="F55" s="17">
        <v>10</v>
      </c>
      <c r="G55" s="20">
        <v>1008000000</v>
      </c>
      <c r="H55" s="21">
        <v>3600000</v>
      </c>
      <c r="I55" s="21" t="s">
        <v>37</v>
      </c>
      <c r="J55" s="21" t="s">
        <v>10</v>
      </c>
    </row>
    <row r="56" spans="1:10" x14ac:dyDescent="0.25">
      <c r="A56" s="15">
        <v>45793</v>
      </c>
      <c r="B56" s="16" t="s">
        <v>28</v>
      </c>
      <c r="C56" s="17" t="s">
        <v>23</v>
      </c>
      <c r="D56" s="18">
        <v>45992</v>
      </c>
      <c r="E56" s="19">
        <v>360</v>
      </c>
      <c r="F56" s="17">
        <v>10</v>
      </c>
      <c r="G56" s="20">
        <v>1296000000</v>
      </c>
      <c r="H56" s="21">
        <v>3600000</v>
      </c>
      <c r="I56" s="21" t="s">
        <v>37</v>
      </c>
      <c r="J56" s="21" t="s">
        <v>10</v>
      </c>
    </row>
    <row r="57" spans="1:10" x14ac:dyDescent="0.25">
      <c r="A57" s="15">
        <v>45797</v>
      </c>
      <c r="B57" s="16" t="s">
        <v>28</v>
      </c>
      <c r="C57" s="17" t="s">
        <v>21</v>
      </c>
      <c r="D57" s="18">
        <v>45931</v>
      </c>
      <c r="E57" s="19">
        <v>370</v>
      </c>
      <c r="F57" s="17">
        <v>10</v>
      </c>
      <c r="G57" s="20">
        <v>1332000000</v>
      </c>
      <c r="H57" s="21">
        <v>3600000</v>
      </c>
      <c r="I57" s="21" t="s">
        <v>37</v>
      </c>
      <c r="J57" s="21" t="s">
        <v>10</v>
      </c>
    </row>
    <row r="58" spans="1:10" x14ac:dyDescent="0.25">
      <c r="A58" s="15">
        <v>45797</v>
      </c>
      <c r="B58" s="16" t="s">
        <v>28</v>
      </c>
      <c r="C58" s="17" t="s">
        <v>22</v>
      </c>
      <c r="D58" s="18">
        <v>45962</v>
      </c>
      <c r="E58" s="19">
        <v>370</v>
      </c>
      <c r="F58" s="17">
        <v>10</v>
      </c>
      <c r="G58" s="20">
        <v>1332000000</v>
      </c>
      <c r="H58" s="21">
        <v>3600000</v>
      </c>
      <c r="I58" s="21" t="s">
        <v>37</v>
      </c>
      <c r="J58" s="21" t="s">
        <v>10</v>
      </c>
    </row>
    <row r="59" spans="1:10" x14ac:dyDescent="0.25">
      <c r="A59" s="15">
        <v>45797</v>
      </c>
      <c r="B59" s="16" t="s">
        <v>28</v>
      </c>
      <c r="C59" s="17" t="s">
        <v>21</v>
      </c>
      <c r="D59" s="18">
        <v>45931</v>
      </c>
      <c r="E59" s="19">
        <v>355</v>
      </c>
      <c r="F59" s="17">
        <v>10</v>
      </c>
      <c r="G59" s="20">
        <v>1278000000</v>
      </c>
      <c r="H59" s="21">
        <v>3600000</v>
      </c>
      <c r="I59" s="21" t="s">
        <v>37</v>
      </c>
      <c r="J59" s="21" t="s">
        <v>10</v>
      </c>
    </row>
    <row r="60" spans="1:10" x14ac:dyDescent="0.25">
      <c r="A60" s="15">
        <v>45799</v>
      </c>
      <c r="B60" s="16" t="s">
        <v>28</v>
      </c>
      <c r="C60" s="17" t="s">
        <v>17</v>
      </c>
      <c r="D60" s="18">
        <v>45809</v>
      </c>
      <c r="E60" s="19">
        <v>275</v>
      </c>
      <c r="F60" s="17">
        <v>5</v>
      </c>
      <c r="G60" s="20">
        <v>495000000</v>
      </c>
      <c r="H60" s="21">
        <v>1800000</v>
      </c>
      <c r="I60" s="21" t="s">
        <v>37</v>
      </c>
      <c r="J60" s="21" t="s">
        <v>10</v>
      </c>
    </row>
    <row r="61" spans="1:10" x14ac:dyDescent="0.25">
      <c r="A61" s="15">
        <v>45799</v>
      </c>
      <c r="B61" s="16" t="s">
        <v>28</v>
      </c>
      <c r="C61" s="17" t="s">
        <v>18</v>
      </c>
      <c r="D61" s="18">
        <v>45839</v>
      </c>
      <c r="E61" s="19">
        <v>280</v>
      </c>
      <c r="F61" s="17">
        <v>10</v>
      </c>
      <c r="G61" s="20">
        <v>1008000000</v>
      </c>
      <c r="H61" s="21">
        <v>3600000</v>
      </c>
      <c r="I61" s="21" t="s">
        <v>37</v>
      </c>
      <c r="J61" s="21" t="s">
        <v>25</v>
      </c>
    </row>
    <row r="62" spans="1:10" x14ac:dyDescent="0.25">
      <c r="A62" s="15">
        <v>45800</v>
      </c>
      <c r="B62" s="16" t="s">
        <v>28</v>
      </c>
      <c r="C62" s="17" t="s">
        <v>18</v>
      </c>
      <c r="D62" s="18">
        <v>45839</v>
      </c>
      <c r="E62" s="19">
        <v>280</v>
      </c>
      <c r="F62" s="17">
        <v>20</v>
      </c>
      <c r="G62" s="20">
        <v>2016000000</v>
      </c>
      <c r="H62" s="21">
        <v>7200000</v>
      </c>
      <c r="I62" s="21" t="s">
        <v>37</v>
      </c>
      <c r="J62" s="21" t="s">
        <v>10</v>
      </c>
    </row>
    <row r="63" spans="1:10" x14ac:dyDescent="0.25">
      <c r="A63" s="15">
        <v>45800</v>
      </c>
      <c r="B63" s="16" t="s">
        <v>28</v>
      </c>
      <c r="C63" s="17" t="s">
        <v>20</v>
      </c>
      <c r="D63" s="18">
        <v>45901</v>
      </c>
      <c r="E63" s="19">
        <v>340</v>
      </c>
      <c r="F63" s="17">
        <v>1</v>
      </c>
      <c r="G63" s="20">
        <v>122400000</v>
      </c>
      <c r="H63" s="21">
        <v>360000</v>
      </c>
      <c r="I63" s="21" t="s">
        <v>37</v>
      </c>
      <c r="J63" s="21" t="s">
        <v>10</v>
      </c>
    </row>
    <row r="64" spans="1:10" x14ac:dyDescent="0.25">
      <c r="A64" s="15">
        <v>45800</v>
      </c>
      <c r="B64" s="16" t="s">
        <v>28</v>
      </c>
      <c r="C64" s="17" t="s">
        <v>19</v>
      </c>
      <c r="D64" s="18">
        <v>45870</v>
      </c>
      <c r="E64" s="19">
        <v>290</v>
      </c>
      <c r="F64" s="17">
        <v>10</v>
      </c>
      <c r="G64" s="20">
        <v>1044000000</v>
      </c>
      <c r="H64" s="21">
        <v>3600000</v>
      </c>
      <c r="I64" s="21" t="s">
        <v>37</v>
      </c>
      <c r="J64" s="21" t="s">
        <v>10</v>
      </c>
    </row>
    <row r="65" spans="1:10" x14ac:dyDescent="0.25">
      <c r="A65" s="15">
        <v>45803</v>
      </c>
      <c r="B65" s="16" t="s">
        <v>28</v>
      </c>
      <c r="C65" s="17" t="s">
        <v>16</v>
      </c>
      <c r="D65" s="18">
        <v>45778</v>
      </c>
      <c r="E65" s="19">
        <v>130</v>
      </c>
      <c r="F65" s="17">
        <v>1</v>
      </c>
      <c r="G65" s="20">
        <v>46800000</v>
      </c>
      <c r="H65" s="21">
        <v>360000</v>
      </c>
      <c r="I65" s="21" t="s">
        <v>37</v>
      </c>
      <c r="J65" s="21" t="s">
        <v>10</v>
      </c>
    </row>
    <row r="66" spans="1:10" x14ac:dyDescent="0.25">
      <c r="A66" s="15">
        <v>45803</v>
      </c>
      <c r="B66" s="16" t="s">
        <v>28</v>
      </c>
      <c r="C66" s="17" t="s">
        <v>20</v>
      </c>
      <c r="D66" s="18">
        <v>45901</v>
      </c>
      <c r="E66" s="19">
        <v>340</v>
      </c>
      <c r="F66" s="17">
        <v>10</v>
      </c>
      <c r="G66" s="20">
        <v>1224000000</v>
      </c>
      <c r="H66" s="21">
        <v>3600000</v>
      </c>
      <c r="I66" s="21" t="s">
        <v>37</v>
      </c>
      <c r="J66" s="21" t="s">
        <v>10</v>
      </c>
    </row>
    <row r="67" spans="1:10" x14ac:dyDescent="0.25">
      <c r="A67" s="26">
        <v>45807</v>
      </c>
      <c r="B67" s="27" t="s">
        <v>28</v>
      </c>
      <c r="C67" s="28" t="s">
        <v>20</v>
      </c>
      <c r="D67" s="29">
        <v>45901</v>
      </c>
      <c r="E67" s="30">
        <v>365</v>
      </c>
      <c r="F67" s="28">
        <v>10</v>
      </c>
      <c r="G67" s="31">
        <v>1314000000</v>
      </c>
      <c r="H67" s="32">
        <v>3600000</v>
      </c>
      <c r="I67" s="32" t="s">
        <v>37</v>
      </c>
      <c r="J67" s="32" t="s">
        <v>10</v>
      </c>
    </row>
    <row r="68" spans="1:10" x14ac:dyDescent="0.25">
      <c r="A68" s="26">
        <v>45807</v>
      </c>
      <c r="B68" s="27" t="s">
        <v>28</v>
      </c>
      <c r="C68" s="28" t="s">
        <v>22</v>
      </c>
      <c r="D68" s="29">
        <v>45962</v>
      </c>
      <c r="E68" s="30">
        <v>365</v>
      </c>
      <c r="F68" s="28">
        <v>10</v>
      </c>
      <c r="G68" s="31">
        <v>1314000000</v>
      </c>
      <c r="H68" s="32">
        <v>3600000</v>
      </c>
      <c r="I68" s="32" t="s">
        <v>37</v>
      </c>
      <c r="J68" s="32" t="s">
        <v>10</v>
      </c>
    </row>
    <row r="69" spans="1:10" x14ac:dyDescent="0.25">
      <c r="A69" s="26">
        <v>45807</v>
      </c>
      <c r="B69" s="27" t="s">
        <v>28</v>
      </c>
      <c r="C69" s="28" t="s">
        <v>19</v>
      </c>
      <c r="D69" s="29">
        <v>45870</v>
      </c>
      <c r="E69" s="30">
        <v>280</v>
      </c>
      <c r="F69" s="28">
        <v>5</v>
      </c>
      <c r="G69" s="31">
        <v>504000000</v>
      </c>
      <c r="H69" s="32">
        <v>1800000</v>
      </c>
      <c r="I69" s="32" t="s">
        <v>37</v>
      </c>
      <c r="J69" s="32" t="s">
        <v>10</v>
      </c>
    </row>
    <row r="70" spans="1:10" x14ac:dyDescent="0.25">
      <c r="A70" s="26">
        <v>45807</v>
      </c>
      <c r="B70" s="27" t="s">
        <v>28</v>
      </c>
      <c r="C70" s="28" t="s">
        <v>18</v>
      </c>
      <c r="D70" s="29">
        <v>45839</v>
      </c>
      <c r="E70" s="30">
        <v>265</v>
      </c>
      <c r="F70" s="28">
        <v>20</v>
      </c>
      <c r="G70" s="31">
        <v>1908000000</v>
      </c>
      <c r="H70" s="32">
        <v>7200000</v>
      </c>
      <c r="I70" s="32" t="s">
        <v>37</v>
      </c>
      <c r="J70" s="32" t="s">
        <v>10</v>
      </c>
    </row>
    <row r="71" spans="1:10" x14ac:dyDescent="0.25">
      <c r="A71" s="26">
        <v>45807</v>
      </c>
      <c r="B71" s="27" t="s">
        <v>28</v>
      </c>
      <c r="C71" s="28" t="s">
        <v>16</v>
      </c>
      <c r="D71" s="29">
        <v>45778</v>
      </c>
      <c r="E71" s="30">
        <v>121.09</v>
      </c>
      <c r="F71" s="28">
        <v>10</v>
      </c>
      <c r="G71" s="31">
        <v>435924000</v>
      </c>
      <c r="H71" s="32">
        <v>3600000</v>
      </c>
      <c r="I71" s="32" t="s">
        <v>37</v>
      </c>
      <c r="J71" s="32" t="s">
        <v>10</v>
      </c>
    </row>
    <row r="72" spans="1:10" x14ac:dyDescent="0.25">
      <c r="A72" s="26">
        <v>45807</v>
      </c>
      <c r="B72" s="27" t="s">
        <v>28</v>
      </c>
      <c r="C72" s="28" t="s">
        <v>21</v>
      </c>
      <c r="D72" s="29">
        <v>45931</v>
      </c>
      <c r="E72" s="30">
        <v>360</v>
      </c>
      <c r="F72" s="28">
        <v>5</v>
      </c>
      <c r="G72" s="31">
        <v>648000000</v>
      </c>
      <c r="H72" s="32">
        <v>1800000</v>
      </c>
      <c r="I72" s="32" t="s">
        <v>37</v>
      </c>
      <c r="J72" s="32" t="s">
        <v>10</v>
      </c>
    </row>
    <row r="73" spans="1:10" x14ac:dyDescent="0.25">
      <c r="A73" s="26">
        <v>45812</v>
      </c>
      <c r="B73" s="27" t="s">
        <v>28</v>
      </c>
      <c r="C73" s="28" t="s">
        <v>17</v>
      </c>
      <c r="D73" s="29">
        <v>45809</v>
      </c>
      <c r="E73" s="30">
        <v>250</v>
      </c>
      <c r="F73" s="28">
        <v>5</v>
      </c>
      <c r="G73" s="31">
        <v>450000000</v>
      </c>
      <c r="H73" s="32">
        <v>1800000</v>
      </c>
      <c r="I73" s="32" t="s">
        <v>37</v>
      </c>
      <c r="J73" s="32" t="s">
        <v>10</v>
      </c>
    </row>
    <row r="74" spans="1:10" x14ac:dyDescent="0.25">
      <c r="A74" s="15">
        <v>45817</v>
      </c>
      <c r="B74" s="16" t="s">
        <v>28</v>
      </c>
      <c r="C74" s="17" t="s">
        <v>19</v>
      </c>
      <c r="D74" s="18">
        <v>45870</v>
      </c>
      <c r="E74" s="19">
        <v>285</v>
      </c>
      <c r="F74" s="17">
        <v>10</v>
      </c>
      <c r="G74" s="20">
        <v>1026000000</v>
      </c>
      <c r="H74" s="21">
        <v>3600000</v>
      </c>
      <c r="I74" s="21" t="s">
        <v>37</v>
      </c>
      <c r="J74" s="21" t="s">
        <v>10</v>
      </c>
    </row>
    <row r="75" spans="1:10" x14ac:dyDescent="0.25">
      <c r="A75" s="26">
        <v>45817</v>
      </c>
      <c r="B75" s="27" t="s">
        <v>28</v>
      </c>
      <c r="C75" s="28" t="s">
        <v>19</v>
      </c>
      <c r="D75" s="29">
        <v>45870</v>
      </c>
      <c r="E75" s="30">
        <v>285</v>
      </c>
      <c r="F75" s="28">
        <v>10</v>
      </c>
      <c r="G75" s="31">
        <v>1026000000</v>
      </c>
      <c r="H75" s="32">
        <v>3600000</v>
      </c>
      <c r="I75" s="32" t="s">
        <v>37</v>
      </c>
      <c r="J75" s="32" t="s">
        <v>10</v>
      </c>
    </row>
    <row r="76" spans="1:10" x14ac:dyDescent="0.25">
      <c r="A76" s="26">
        <v>45818</v>
      </c>
      <c r="B76" s="27" t="s">
        <v>28</v>
      </c>
      <c r="C76" s="28" t="s">
        <v>19</v>
      </c>
      <c r="D76" s="29">
        <v>45870</v>
      </c>
      <c r="E76" s="30">
        <v>285</v>
      </c>
      <c r="F76" s="28">
        <v>10</v>
      </c>
      <c r="G76" s="31">
        <v>1026000000</v>
      </c>
      <c r="H76" s="32">
        <v>3600000</v>
      </c>
      <c r="I76" s="32" t="s">
        <v>37</v>
      </c>
      <c r="J76" s="32" t="s">
        <v>10</v>
      </c>
    </row>
    <row r="77" spans="1:10" x14ac:dyDescent="0.25">
      <c r="A77" s="26">
        <v>45820</v>
      </c>
      <c r="B77" s="27" t="s">
        <v>28</v>
      </c>
      <c r="C77" s="28" t="s">
        <v>17</v>
      </c>
      <c r="D77" s="29">
        <v>45809</v>
      </c>
      <c r="E77" s="30">
        <v>185</v>
      </c>
      <c r="F77" s="28">
        <v>1</v>
      </c>
      <c r="G77" s="31">
        <v>66600000</v>
      </c>
      <c r="H77" s="32">
        <v>360000</v>
      </c>
      <c r="I77" s="32" t="s">
        <v>37</v>
      </c>
      <c r="J77" s="32" t="s">
        <v>10</v>
      </c>
    </row>
    <row r="78" spans="1:10" x14ac:dyDescent="0.25">
      <c r="A78" s="26">
        <v>45825</v>
      </c>
      <c r="B78" s="27" t="s">
        <v>28</v>
      </c>
      <c r="C78" s="28" t="s">
        <v>17</v>
      </c>
      <c r="D78" s="29">
        <v>45809</v>
      </c>
      <c r="E78" s="30">
        <v>150</v>
      </c>
      <c r="F78" s="28">
        <v>1</v>
      </c>
      <c r="G78" s="31">
        <v>54000000</v>
      </c>
      <c r="H78" s="32">
        <v>360000</v>
      </c>
      <c r="I78" s="32" t="s">
        <v>37</v>
      </c>
      <c r="J78" s="32" t="s">
        <v>10</v>
      </c>
    </row>
    <row r="79" spans="1:10" x14ac:dyDescent="0.25">
      <c r="A79" s="26">
        <v>45826</v>
      </c>
      <c r="B79" s="27" t="s">
        <v>28</v>
      </c>
      <c r="C79" s="28" t="s">
        <v>21</v>
      </c>
      <c r="D79" s="29">
        <v>45931</v>
      </c>
      <c r="E79" s="30">
        <v>370</v>
      </c>
      <c r="F79" s="28">
        <v>5</v>
      </c>
      <c r="G79" s="31">
        <v>666000000</v>
      </c>
      <c r="H79" s="32">
        <v>1800000</v>
      </c>
      <c r="I79" s="32" t="s">
        <v>37</v>
      </c>
      <c r="J79" s="32" t="s">
        <v>10</v>
      </c>
    </row>
    <row r="80" spans="1:10" x14ac:dyDescent="0.25">
      <c r="A80" s="26">
        <v>45827</v>
      </c>
      <c r="B80" s="27" t="s">
        <v>28</v>
      </c>
      <c r="C80" s="28" t="s">
        <v>23</v>
      </c>
      <c r="D80" s="29">
        <v>45992</v>
      </c>
      <c r="E80" s="30">
        <v>400</v>
      </c>
      <c r="F80" s="28">
        <v>1</v>
      </c>
      <c r="G80" s="31">
        <v>144000000</v>
      </c>
      <c r="H80" s="32">
        <v>360000</v>
      </c>
      <c r="I80" s="32" t="s">
        <v>37</v>
      </c>
      <c r="J80" s="32" t="s">
        <v>25</v>
      </c>
    </row>
    <row r="81" spans="1:10" x14ac:dyDescent="0.25">
      <c r="A81" s="26">
        <v>45828</v>
      </c>
      <c r="B81" s="27" t="s">
        <v>28</v>
      </c>
      <c r="C81" s="28" t="s">
        <v>18</v>
      </c>
      <c r="D81" s="29">
        <v>45839</v>
      </c>
      <c r="E81" s="30">
        <v>250</v>
      </c>
      <c r="F81" s="28">
        <v>60</v>
      </c>
      <c r="G81" s="31">
        <v>5400000000</v>
      </c>
      <c r="H81" s="32">
        <v>21600000</v>
      </c>
      <c r="I81" s="32" t="s">
        <v>37</v>
      </c>
      <c r="J81" s="32" t="s">
        <v>10</v>
      </c>
    </row>
    <row r="82" spans="1:10" x14ac:dyDescent="0.25">
      <c r="A82" s="26">
        <v>45828</v>
      </c>
      <c r="B82" s="27" t="s">
        <v>28</v>
      </c>
      <c r="C82" s="28" t="s">
        <v>18</v>
      </c>
      <c r="D82" s="29">
        <v>45839</v>
      </c>
      <c r="E82" s="30">
        <v>249.99</v>
      </c>
      <c r="F82" s="28">
        <v>20</v>
      </c>
      <c r="G82" s="31">
        <v>1799928000</v>
      </c>
      <c r="H82" s="32">
        <v>7200000</v>
      </c>
      <c r="I82" s="32" t="s">
        <v>37</v>
      </c>
      <c r="J82" s="32" t="s">
        <v>10</v>
      </c>
    </row>
    <row r="83" spans="1:10" x14ac:dyDescent="0.25">
      <c r="A83" s="26">
        <v>45835</v>
      </c>
      <c r="B83" s="27" t="s">
        <v>28</v>
      </c>
      <c r="C83" s="28" t="s">
        <v>17</v>
      </c>
      <c r="D83" s="29">
        <v>45809</v>
      </c>
      <c r="E83" s="30">
        <v>110</v>
      </c>
      <c r="F83" s="28">
        <v>15</v>
      </c>
      <c r="G83" s="31">
        <v>594000000</v>
      </c>
      <c r="H83" s="32">
        <v>5400000</v>
      </c>
      <c r="I83" s="32" t="s">
        <v>37</v>
      </c>
      <c r="J83" s="32" t="s">
        <v>10</v>
      </c>
    </row>
    <row r="84" spans="1:10" x14ac:dyDescent="0.25">
      <c r="A84" s="26">
        <v>45835</v>
      </c>
      <c r="B84" s="27" t="s">
        <v>28</v>
      </c>
      <c r="C84" s="28" t="s">
        <v>17</v>
      </c>
      <c r="D84" s="29">
        <v>45809</v>
      </c>
      <c r="E84" s="30">
        <v>110</v>
      </c>
      <c r="F84" s="28">
        <v>5</v>
      </c>
      <c r="G84" s="31">
        <v>198000000</v>
      </c>
      <c r="H84" s="32">
        <v>1800000</v>
      </c>
      <c r="I84" s="32" t="s">
        <v>37</v>
      </c>
      <c r="J84" s="32" t="s">
        <v>10</v>
      </c>
    </row>
    <row r="85" spans="1:10" x14ac:dyDescent="0.25">
      <c r="A85" s="26">
        <v>45842</v>
      </c>
      <c r="B85" s="27" t="s">
        <v>28</v>
      </c>
      <c r="C85" s="28" t="s">
        <v>18</v>
      </c>
      <c r="D85" s="29">
        <v>45839</v>
      </c>
      <c r="E85" s="30">
        <v>190</v>
      </c>
      <c r="F85" s="28">
        <v>1</v>
      </c>
      <c r="G85" s="31">
        <v>68400000</v>
      </c>
      <c r="H85" s="32">
        <v>360000</v>
      </c>
      <c r="I85" s="32" t="s">
        <v>37</v>
      </c>
      <c r="J85" s="32" t="s">
        <v>10</v>
      </c>
    </row>
    <row r="86" spans="1:10" x14ac:dyDescent="0.25">
      <c r="A86" s="15">
        <v>45842</v>
      </c>
      <c r="B86" s="16" t="s">
        <v>28</v>
      </c>
      <c r="C86" s="17" t="s">
        <v>18</v>
      </c>
      <c r="D86" s="18">
        <v>45839</v>
      </c>
      <c r="E86" s="19">
        <v>185</v>
      </c>
      <c r="F86" s="17">
        <v>5</v>
      </c>
      <c r="G86" s="20">
        <v>333000000</v>
      </c>
      <c r="H86" s="21">
        <v>1800000</v>
      </c>
      <c r="I86" s="21" t="s">
        <v>37</v>
      </c>
      <c r="J86" s="21" t="s">
        <v>10</v>
      </c>
    </row>
    <row r="87" spans="1:10" x14ac:dyDescent="0.25">
      <c r="A87" s="26">
        <v>45842</v>
      </c>
      <c r="B87" s="27" t="s">
        <v>28</v>
      </c>
      <c r="C87" s="28" t="s">
        <v>18</v>
      </c>
      <c r="D87" s="29">
        <v>45839</v>
      </c>
      <c r="E87" s="30">
        <v>185</v>
      </c>
      <c r="F87" s="28">
        <v>2</v>
      </c>
      <c r="G87" s="31">
        <v>133200000</v>
      </c>
      <c r="H87" s="32">
        <v>720000</v>
      </c>
      <c r="I87" s="32" t="s">
        <v>37</v>
      </c>
      <c r="J87" s="32" t="s">
        <v>10</v>
      </c>
    </row>
    <row r="88" spans="1:10" x14ac:dyDescent="0.25">
      <c r="A88" s="26">
        <v>45847</v>
      </c>
      <c r="B88" s="27" t="s">
        <v>28</v>
      </c>
      <c r="C88" s="28" t="s">
        <v>19</v>
      </c>
      <c r="D88" s="29">
        <v>45870</v>
      </c>
      <c r="E88" s="30">
        <v>240</v>
      </c>
      <c r="F88" s="28">
        <v>5</v>
      </c>
      <c r="G88" s="31">
        <v>432000000</v>
      </c>
      <c r="H88" s="32">
        <v>1800000</v>
      </c>
      <c r="I88" s="32" t="s">
        <v>37</v>
      </c>
      <c r="J88" s="32" t="s">
        <v>10</v>
      </c>
    </row>
    <row r="89" spans="1:10" x14ac:dyDescent="0.25">
      <c r="A89" s="26">
        <v>45848</v>
      </c>
      <c r="B89" s="27" t="s">
        <v>28</v>
      </c>
      <c r="C89" s="28" t="s">
        <v>18</v>
      </c>
      <c r="D89" s="29">
        <v>45839</v>
      </c>
      <c r="E89" s="30">
        <v>185</v>
      </c>
      <c r="F89" s="28">
        <v>1</v>
      </c>
      <c r="G89" s="31">
        <v>66600000</v>
      </c>
      <c r="H89" s="32">
        <v>360000</v>
      </c>
      <c r="I89" s="32" t="s">
        <v>37</v>
      </c>
      <c r="J89" s="32" t="s">
        <v>25</v>
      </c>
    </row>
    <row r="90" spans="1:10" x14ac:dyDescent="0.25">
      <c r="A90" s="26">
        <v>45854</v>
      </c>
      <c r="B90" s="27" t="s">
        <v>28</v>
      </c>
      <c r="C90" s="28" t="s">
        <v>19</v>
      </c>
      <c r="D90" s="29">
        <v>45870</v>
      </c>
      <c r="E90" s="30">
        <v>240</v>
      </c>
      <c r="F90" s="28">
        <v>6</v>
      </c>
      <c r="G90" s="31">
        <v>518400000</v>
      </c>
      <c r="H90" s="32">
        <v>2160000</v>
      </c>
      <c r="I90" s="32" t="s">
        <v>37</v>
      </c>
      <c r="J90" s="32" t="s">
        <v>10</v>
      </c>
    </row>
    <row r="91" spans="1:10" x14ac:dyDescent="0.25">
      <c r="A91" s="26">
        <v>45855</v>
      </c>
      <c r="B91" s="27" t="s">
        <v>28</v>
      </c>
      <c r="C91" s="28" t="s">
        <v>19</v>
      </c>
      <c r="D91" s="29">
        <v>45870</v>
      </c>
      <c r="E91" s="30">
        <v>240</v>
      </c>
      <c r="F91" s="28">
        <v>4</v>
      </c>
      <c r="G91" s="31">
        <v>345600000</v>
      </c>
      <c r="H91" s="32">
        <v>1440000</v>
      </c>
      <c r="I91" s="32" t="s">
        <v>37</v>
      </c>
      <c r="J91" s="32" t="s">
        <v>10</v>
      </c>
    </row>
    <row r="92" spans="1:10" x14ac:dyDescent="0.25">
      <c r="A92" s="15">
        <v>45861</v>
      </c>
      <c r="B92" s="16" t="s">
        <v>28</v>
      </c>
      <c r="C92" s="17" t="s">
        <v>19</v>
      </c>
      <c r="D92" s="18">
        <v>45870</v>
      </c>
      <c r="E92" s="19">
        <v>270</v>
      </c>
      <c r="F92" s="17">
        <v>6</v>
      </c>
      <c r="G92" s="20">
        <v>583200000</v>
      </c>
      <c r="H92" s="21">
        <v>2160000</v>
      </c>
      <c r="I92" s="21" t="s">
        <v>37</v>
      </c>
      <c r="J92" s="21" t="s">
        <v>11</v>
      </c>
    </row>
    <row r="93" spans="1:10" x14ac:dyDescent="0.25">
      <c r="A93" s="15">
        <v>45861</v>
      </c>
      <c r="B93" s="16" t="s">
        <v>28</v>
      </c>
      <c r="C93" s="17" t="s">
        <v>20</v>
      </c>
      <c r="D93" s="18">
        <v>45901</v>
      </c>
      <c r="E93" s="19">
        <v>270</v>
      </c>
      <c r="F93" s="17">
        <v>6</v>
      </c>
      <c r="G93" s="20">
        <v>583200000</v>
      </c>
      <c r="H93" s="21">
        <v>2160000</v>
      </c>
      <c r="I93" s="21" t="s">
        <v>37</v>
      </c>
      <c r="J93" s="21" t="s">
        <v>11</v>
      </c>
    </row>
    <row r="94" spans="1:10" x14ac:dyDescent="0.25">
      <c r="A94" s="15">
        <v>45861</v>
      </c>
      <c r="B94" s="16" t="s">
        <v>28</v>
      </c>
      <c r="C94" s="17" t="s">
        <v>21</v>
      </c>
      <c r="D94" s="18">
        <v>45931</v>
      </c>
      <c r="E94" s="19">
        <v>270</v>
      </c>
      <c r="F94" s="17">
        <v>6</v>
      </c>
      <c r="G94" s="20">
        <v>583200000</v>
      </c>
      <c r="H94" s="21">
        <v>2160000</v>
      </c>
      <c r="I94" s="21" t="s">
        <v>37</v>
      </c>
      <c r="J94" s="21" t="s">
        <v>11</v>
      </c>
    </row>
    <row r="95" spans="1:10" x14ac:dyDescent="0.25">
      <c r="A95" s="15">
        <v>45861</v>
      </c>
      <c r="B95" s="16" t="s">
        <v>28</v>
      </c>
      <c r="C95" s="17" t="s">
        <v>22</v>
      </c>
      <c r="D95" s="18">
        <v>45962</v>
      </c>
      <c r="E95" s="19">
        <v>270</v>
      </c>
      <c r="F95" s="17">
        <v>6</v>
      </c>
      <c r="G95" s="20">
        <v>583200000</v>
      </c>
      <c r="H95" s="21">
        <v>2160000</v>
      </c>
      <c r="I95" s="21" t="s">
        <v>37</v>
      </c>
      <c r="J95" s="21" t="s">
        <v>11</v>
      </c>
    </row>
    <row r="96" spans="1:10" x14ac:dyDescent="0.25">
      <c r="A96" s="26">
        <v>45861</v>
      </c>
      <c r="B96" s="27" t="s">
        <v>28</v>
      </c>
      <c r="C96" s="28" t="s">
        <v>23</v>
      </c>
      <c r="D96" s="29">
        <v>45992</v>
      </c>
      <c r="E96" s="30">
        <v>270</v>
      </c>
      <c r="F96" s="28">
        <v>6</v>
      </c>
      <c r="G96" s="31">
        <v>583200000</v>
      </c>
      <c r="H96" s="32">
        <v>2160000</v>
      </c>
      <c r="I96" s="32" t="s">
        <v>37</v>
      </c>
      <c r="J96" s="32" t="s">
        <v>11</v>
      </c>
    </row>
    <row r="97" spans="1:10" x14ac:dyDescent="0.25">
      <c r="A97" s="26">
        <v>45862</v>
      </c>
      <c r="B97" s="27" t="s">
        <v>28</v>
      </c>
      <c r="C97" s="28" t="s">
        <v>19</v>
      </c>
      <c r="D97" s="29">
        <v>45870</v>
      </c>
      <c r="E97" s="30">
        <v>250</v>
      </c>
      <c r="F97" s="28">
        <v>3</v>
      </c>
      <c r="G97" s="31">
        <v>270000000</v>
      </c>
      <c r="H97" s="32">
        <v>1080000</v>
      </c>
      <c r="I97" s="32" t="s">
        <v>37</v>
      </c>
      <c r="J97" s="32" t="s">
        <v>25</v>
      </c>
    </row>
    <row r="98" spans="1:10" x14ac:dyDescent="0.25">
      <c r="A98" s="26">
        <v>45867</v>
      </c>
      <c r="B98" s="27" t="s">
        <v>28</v>
      </c>
      <c r="C98" s="28" t="s">
        <v>19</v>
      </c>
      <c r="D98" s="29">
        <v>45870</v>
      </c>
      <c r="E98" s="30">
        <v>250</v>
      </c>
      <c r="F98" s="28">
        <v>1</v>
      </c>
      <c r="G98" s="31">
        <v>90000000</v>
      </c>
      <c r="H98" s="32">
        <v>360000</v>
      </c>
      <c r="I98" s="32" t="s">
        <v>37</v>
      </c>
      <c r="J98" s="32" t="s">
        <v>10</v>
      </c>
    </row>
    <row r="99" spans="1:10" x14ac:dyDescent="0.25">
      <c r="A99" s="15">
        <v>45868</v>
      </c>
      <c r="B99" s="16" t="s">
        <v>28</v>
      </c>
      <c r="C99" s="17" t="s">
        <v>18</v>
      </c>
      <c r="D99" s="18">
        <v>45839</v>
      </c>
      <c r="E99" s="19">
        <v>126.9</v>
      </c>
      <c r="F99" s="17">
        <v>20</v>
      </c>
      <c r="G99" s="20">
        <v>913680000</v>
      </c>
      <c r="H99" s="21">
        <v>7200000</v>
      </c>
      <c r="I99" s="32" t="s">
        <v>37</v>
      </c>
      <c r="J99" s="21" t="s">
        <v>10</v>
      </c>
    </row>
    <row r="100" spans="1:10" x14ac:dyDescent="0.25">
      <c r="A100" s="15">
        <v>45868</v>
      </c>
      <c r="B100" s="16" t="s">
        <v>28</v>
      </c>
      <c r="C100" s="17" t="s">
        <v>19</v>
      </c>
      <c r="D100" s="18">
        <v>45870</v>
      </c>
      <c r="E100" s="19">
        <v>250</v>
      </c>
      <c r="F100" s="17">
        <v>16</v>
      </c>
      <c r="G100" s="20">
        <v>1440000000</v>
      </c>
      <c r="H100" s="21">
        <v>5760000</v>
      </c>
      <c r="I100" s="32" t="s">
        <v>37</v>
      </c>
      <c r="J100" s="21" t="s">
        <v>10</v>
      </c>
    </row>
    <row r="101" spans="1:10" x14ac:dyDescent="0.25">
      <c r="A101" s="15">
        <v>45868</v>
      </c>
      <c r="B101" s="16" t="s">
        <v>29</v>
      </c>
      <c r="C101" s="17" t="s">
        <v>38</v>
      </c>
      <c r="D101" s="18">
        <v>45870</v>
      </c>
      <c r="E101" s="19">
        <v>250</v>
      </c>
      <c r="F101" s="17">
        <v>35</v>
      </c>
      <c r="G101" s="20">
        <v>87500000</v>
      </c>
      <c r="H101" s="21">
        <v>350000</v>
      </c>
      <c r="I101" s="32" t="s">
        <v>37</v>
      </c>
      <c r="J101" s="21" t="s">
        <v>10</v>
      </c>
    </row>
    <row r="102" spans="1:10" x14ac:dyDescent="0.25">
      <c r="A102" s="15">
        <v>45868</v>
      </c>
      <c r="B102" s="16" t="s">
        <v>28</v>
      </c>
      <c r="C102" s="17" t="s">
        <v>19</v>
      </c>
      <c r="D102" s="18">
        <v>45870</v>
      </c>
      <c r="E102" s="19">
        <v>250</v>
      </c>
      <c r="F102" s="17">
        <v>4</v>
      </c>
      <c r="G102" s="20">
        <v>360000000</v>
      </c>
      <c r="H102" s="21">
        <v>1440000</v>
      </c>
      <c r="I102" s="32" t="s">
        <v>37</v>
      </c>
      <c r="J102" s="21" t="s">
        <v>10</v>
      </c>
    </row>
    <row r="103" spans="1:10" x14ac:dyDescent="0.25">
      <c r="A103" s="26">
        <v>45869</v>
      </c>
      <c r="B103" s="27" t="s">
        <v>28</v>
      </c>
      <c r="C103" s="28" t="s">
        <v>19</v>
      </c>
      <c r="D103" s="29">
        <v>45870</v>
      </c>
      <c r="E103" s="30">
        <v>250</v>
      </c>
      <c r="F103" s="28">
        <v>14</v>
      </c>
      <c r="G103" s="31">
        <v>1260000000</v>
      </c>
      <c r="H103" s="32">
        <v>5040000</v>
      </c>
      <c r="I103" s="32" t="s">
        <v>37</v>
      </c>
      <c r="J103" s="32" t="s">
        <v>10</v>
      </c>
    </row>
    <row r="104" spans="1:10" x14ac:dyDescent="0.25">
      <c r="A104" s="26">
        <v>45869</v>
      </c>
      <c r="B104" s="27" t="s">
        <v>28</v>
      </c>
      <c r="C104" s="28" t="s">
        <v>18</v>
      </c>
      <c r="D104" s="29">
        <v>45839</v>
      </c>
      <c r="E104" s="30">
        <v>127</v>
      </c>
      <c r="F104" s="28">
        <v>1</v>
      </c>
      <c r="G104" s="31">
        <v>45720000</v>
      </c>
      <c r="H104" s="32">
        <v>360000</v>
      </c>
      <c r="I104" s="32" t="s">
        <v>37</v>
      </c>
      <c r="J104" s="32" t="s">
        <v>25</v>
      </c>
    </row>
    <row r="105" spans="1:10" x14ac:dyDescent="0.25">
      <c r="A105" s="26">
        <v>45874</v>
      </c>
      <c r="B105" s="27" t="s">
        <v>28</v>
      </c>
      <c r="C105" s="28" t="s">
        <v>23</v>
      </c>
      <c r="D105" s="29">
        <v>45992</v>
      </c>
      <c r="E105" s="30">
        <v>340</v>
      </c>
      <c r="F105" s="28">
        <v>5</v>
      </c>
      <c r="G105" s="31">
        <v>612000000</v>
      </c>
      <c r="H105" s="32">
        <v>1800000</v>
      </c>
      <c r="I105" s="32" t="s">
        <v>37</v>
      </c>
      <c r="J105" s="32" t="s">
        <v>10</v>
      </c>
    </row>
    <row r="106" spans="1:10" x14ac:dyDescent="0.25">
      <c r="A106" s="15">
        <v>45874</v>
      </c>
      <c r="B106" s="16" t="s">
        <v>28</v>
      </c>
      <c r="C106" s="17" t="s">
        <v>19</v>
      </c>
      <c r="D106" s="18">
        <v>45870</v>
      </c>
      <c r="E106" s="19">
        <v>250</v>
      </c>
      <c r="F106" s="17">
        <v>3</v>
      </c>
      <c r="G106" s="20">
        <v>270000000</v>
      </c>
      <c r="H106" s="21">
        <v>1080000</v>
      </c>
      <c r="I106" s="32" t="s">
        <v>37</v>
      </c>
      <c r="J106" s="21" t="s">
        <v>10</v>
      </c>
    </row>
    <row r="107" spans="1:10" x14ac:dyDescent="0.25">
      <c r="A107" s="15">
        <v>45882</v>
      </c>
      <c r="B107" s="16" t="s">
        <v>28</v>
      </c>
      <c r="C107" s="17" t="s">
        <v>20</v>
      </c>
      <c r="D107" s="18">
        <v>45901</v>
      </c>
      <c r="E107" s="19">
        <v>300</v>
      </c>
      <c r="F107" s="17">
        <v>4</v>
      </c>
      <c r="G107" s="20">
        <v>432000000</v>
      </c>
      <c r="H107" s="21">
        <v>1440000</v>
      </c>
      <c r="I107" s="32" t="s">
        <v>37</v>
      </c>
      <c r="J107" s="21" t="s">
        <v>10</v>
      </c>
    </row>
    <row r="108" spans="1:10" x14ac:dyDescent="0.25">
      <c r="A108" s="15">
        <v>45882</v>
      </c>
      <c r="B108" s="16" t="s">
        <v>28</v>
      </c>
      <c r="C108" s="17" t="s">
        <v>19</v>
      </c>
      <c r="D108" s="18">
        <v>45870</v>
      </c>
      <c r="E108" s="19">
        <v>205</v>
      </c>
      <c r="F108" s="17">
        <v>5</v>
      </c>
      <c r="G108" s="20">
        <v>369000000</v>
      </c>
      <c r="H108" s="21">
        <v>1800000</v>
      </c>
      <c r="I108" s="32" t="s">
        <v>37</v>
      </c>
      <c r="J108" s="21" t="s">
        <v>10</v>
      </c>
    </row>
    <row r="109" spans="1:10" x14ac:dyDescent="0.25">
      <c r="A109" s="15">
        <v>45883</v>
      </c>
      <c r="B109" s="16" t="s">
        <v>28</v>
      </c>
      <c r="C109" s="17" t="s">
        <v>20</v>
      </c>
      <c r="D109" s="18">
        <v>45901</v>
      </c>
      <c r="E109" s="19">
        <v>250</v>
      </c>
      <c r="F109" s="17">
        <v>10</v>
      </c>
      <c r="G109" s="20">
        <v>900000000</v>
      </c>
      <c r="H109" s="21">
        <v>3600000</v>
      </c>
      <c r="I109" s="32" t="s">
        <v>37</v>
      </c>
      <c r="J109" s="21" t="s">
        <v>10</v>
      </c>
    </row>
    <row r="110" spans="1:10" x14ac:dyDescent="0.25">
      <c r="A110" s="15">
        <v>45883</v>
      </c>
      <c r="B110" s="16" t="s">
        <v>28</v>
      </c>
      <c r="C110" s="17" t="s">
        <v>23</v>
      </c>
      <c r="D110" s="18">
        <v>45992</v>
      </c>
      <c r="E110" s="19">
        <v>340</v>
      </c>
      <c r="F110" s="17">
        <v>5</v>
      </c>
      <c r="G110" s="20">
        <v>612000000</v>
      </c>
      <c r="H110" s="21">
        <v>1800000</v>
      </c>
      <c r="I110" s="32" t="s">
        <v>37</v>
      </c>
      <c r="J110" s="21" t="s">
        <v>10</v>
      </c>
    </row>
    <row r="111" spans="1:10" x14ac:dyDescent="0.25">
      <c r="A111" s="15">
        <v>45883</v>
      </c>
      <c r="B111" s="16" t="s">
        <v>28</v>
      </c>
      <c r="C111" s="17" t="s">
        <v>19</v>
      </c>
      <c r="D111" s="18">
        <v>45870</v>
      </c>
      <c r="E111" s="19">
        <v>200</v>
      </c>
      <c r="F111" s="17">
        <v>3</v>
      </c>
      <c r="G111" s="20">
        <v>216000000</v>
      </c>
      <c r="H111" s="21">
        <v>1080000</v>
      </c>
      <c r="I111" s="32" t="s">
        <v>37</v>
      </c>
      <c r="J111" s="21" t="s">
        <v>10</v>
      </c>
    </row>
    <row r="112" spans="1:10" x14ac:dyDescent="0.25">
      <c r="A112" s="15">
        <v>45883</v>
      </c>
      <c r="B112" s="16" t="s">
        <v>28</v>
      </c>
      <c r="C112" s="17" t="s">
        <v>22</v>
      </c>
      <c r="D112" s="18">
        <v>45962</v>
      </c>
      <c r="E112" s="19">
        <v>270</v>
      </c>
      <c r="F112" s="17">
        <v>10</v>
      </c>
      <c r="G112" s="20">
        <v>972000000</v>
      </c>
      <c r="H112" s="21">
        <v>3600000</v>
      </c>
      <c r="I112" s="32" t="s">
        <v>37</v>
      </c>
      <c r="J112" s="21" t="s">
        <v>10</v>
      </c>
    </row>
    <row r="113" spans="1:10" x14ac:dyDescent="0.25">
      <c r="A113" s="15">
        <v>45883</v>
      </c>
      <c r="B113" s="16" t="s">
        <v>28</v>
      </c>
      <c r="C113" s="17" t="s">
        <v>21</v>
      </c>
      <c r="D113" s="18">
        <v>45931</v>
      </c>
      <c r="E113" s="19">
        <v>270</v>
      </c>
      <c r="F113" s="17">
        <v>10</v>
      </c>
      <c r="G113" s="20">
        <v>972000000</v>
      </c>
      <c r="H113" s="21">
        <v>3600000</v>
      </c>
      <c r="I113" s="32" t="s">
        <v>37</v>
      </c>
      <c r="J113" s="21" t="s">
        <v>10</v>
      </c>
    </row>
    <row r="114" spans="1:10" x14ac:dyDescent="0.25">
      <c r="A114" s="26">
        <v>45884</v>
      </c>
      <c r="B114" s="27" t="s">
        <v>28</v>
      </c>
      <c r="C114" s="28" t="s">
        <v>19</v>
      </c>
      <c r="D114" s="29">
        <v>45870</v>
      </c>
      <c r="E114" s="30">
        <v>200</v>
      </c>
      <c r="F114" s="28">
        <v>10</v>
      </c>
      <c r="G114" s="31">
        <v>720000000</v>
      </c>
      <c r="H114" s="32">
        <v>3600000</v>
      </c>
      <c r="I114" s="32" t="s">
        <v>37</v>
      </c>
      <c r="J114" s="32" t="s">
        <v>10</v>
      </c>
    </row>
    <row r="115" spans="1:10" x14ac:dyDescent="0.25">
      <c r="A115" s="26">
        <v>45888</v>
      </c>
      <c r="B115" s="27" t="s">
        <v>28</v>
      </c>
      <c r="C115" s="28" t="s">
        <v>20</v>
      </c>
      <c r="D115" s="18">
        <v>45901</v>
      </c>
      <c r="E115" s="30">
        <v>270</v>
      </c>
      <c r="F115" s="28">
        <v>10</v>
      </c>
      <c r="G115" s="31">
        <v>972000000</v>
      </c>
      <c r="H115" s="32">
        <v>3600000</v>
      </c>
      <c r="I115" s="32" t="s">
        <v>37</v>
      </c>
      <c r="J115" s="32" t="s">
        <v>10</v>
      </c>
    </row>
    <row r="116" spans="1:10" x14ac:dyDescent="0.25">
      <c r="A116" s="15">
        <v>45888</v>
      </c>
      <c r="B116" s="16" t="s">
        <v>28</v>
      </c>
      <c r="C116" s="17" t="s">
        <v>23</v>
      </c>
      <c r="D116" s="18">
        <v>45992</v>
      </c>
      <c r="E116" s="19">
        <v>340</v>
      </c>
      <c r="F116" s="17">
        <v>5</v>
      </c>
      <c r="G116" s="20">
        <v>612000000</v>
      </c>
      <c r="H116" s="21">
        <v>1800000</v>
      </c>
      <c r="I116" s="32" t="s">
        <v>37</v>
      </c>
      <c r="J116" s="21" t="s">
        <v>10</v>
      </c>
    </row>
    <row r="117" spans="1:10" x14ac:dyDescent="0.25">
      <c r="A117" s="15">
        <v>45890</v>
      </c>
      <c r="B117" s="16" t="s">
        <v>28</v>
      </c>
      <c r="C117" s="17" t="s">
        <v>22</v>
      </c>
      <c r="D117" s="18">
        <v>45962</v>
      </c>
      <c r="E117" s="19">
        <v>270</v>
      </c>
      <c r="F117" s="17">
        <v>1</v>
      </c>
      <c r="G117" s="20">
        <v>97200000</v>
      </c>
      <c r="H117" s="21">
        <v>360000</v>
      </c>
      <c r="I117" s="32" t="s">
        <v>37</v>
      </c>
      <c r="J117" s="21" t="s">
        <v>10</v>
      </c>
    </row>
    <row r="118" spans="1:10" x14ac:dyDescent="0.25">
      <c r="A118" s="26">
        <v>45890</v>
      </c>
      <c r="B118" s="27" t="s">
        <v>28</v>
      </c>
      <c r="C118" s="28" t="s">
        <v>23</v>
      </c>
      <c r="D118" s="29">
        <v>45992</v>
      </c>
      <c r="E118" s="30">
        <v>340</v>
      </c>
      <c r="F118" s="28">
        <v>2</v>
      </c>
      <c r="G118" s="31">
        <v>244800000</v>
      </c>
      <c r="H118" s="32">
        <v>720000</v>
      </c>
      <c r="I118" s="32" t="s">
        <v>37</v>
      </c>
      <c r="J118" s="32" t="s">
        <v>10</v>
      </c>
    </row>
    <row r="119" spans="1:10" x14ac:dyDescent="0.25">
      <c r="A119" s="26">
        <v>45890</v>
      </c>
      <c r="B119" s="27" t="s">
        <v>28</v>
      </c>
      <c r="C119" s="28" t="s">
        <v>20</v>
      </c>
      <c r="D119" s="29">
        <v>45901</v>
      </c>
      <c r="E119" s="30">
        <v>270</v>
      </c>
      <c r="F119" s="28">
        <v>20</v>
      </c>
      <c r="G119" s="31">
        <v>1944000000</v>
      </c>
      <c r="H119" s="32">
        <v>7200000</v>
      </c>
      <c r="I119" s="32" t="s">
        <v>37</v>
      </c>
      <c r="J119" s="32" t="s">
        <v>10</v>
      </c>
    </row>
    <row r="120" spans="1:10" x14ac:dyDescent="0.25">
      <c r="A120" s="15">
        <v>45890</v>
      </c>
      <c r="B120" s="16" t="s">
        <v>28</v>
      </c>
      <c r="C120" s="17" t="s">
        <v>19</v>
      </c>
      <c r="D120" s="18">
        <v>45870</v>
      </c>
      <c r="E120" s="19">
        <v>220</v>
      </c>
      <c r="F120" s="17">
        <v>20</v>
      </c>
      <c r="G120" s="20">
        <v>1584000000</v>
      </c>
      <c r="H120" s="21">
        <v>7200000</v>
      </c>
      <c r="I120" s="32" t="s">
        <v>37</v>
      </c>
      <c r="J120" s="21" t="s">
        <v>10</v>
      </c>
    </row>
    <row r="121" spans="1:10" x14ac:dyDescent="0.25">
      <c r="A121" s="15">
        <v>45890</v>
      </c>
      <c r="B121" s="16" t="s">
        <v>28</v>
      </c>
      <c r="C121" s="17" t="s">
        <v>22</v>
      </c>
      <c r="D121" s="18">
        <v>45962</v>
      </c>
      <c r="E121" s="19">
        <v>270</v>
      </c>
      <c r="F121" s="17">
        <v>10</v>
      </c>
      <c r="G121" s="20">
        <v>972000000</v>
      </c>
      <c r="H121" s="21">
        <v>3600000</v>
      </c>
      <c r="I121" s="32" t="s">
        <v>37</v>
      </c>
      <c r="J121" s="21" t="s">
        <v>10</v>
      </c>
    </row>
    <row r="122" spans="1:10" x14ac:dyDescent="0.25">
      <c r="A122" s="26">
        <v>45890</v>
      </c>
      <c r="B122" s="27" t="s">
        <v>28</v>
      </c>
      <c r="C122" s="28" t="s">
        <v>19</v>
      </c>
      <c r="D122" s="29">
        <v>45870</v>
      </c>
      <c r="E122" s="30">
        <v>220</v>
      </c>
      <c r="F122" s="28">
        <v>30</v>
      </c>
      <c r="G122" s="31">
        <v>2376000000</v>
      </c>
      <c r="H122" s="32">
        <v>10800000</v>
      </c>
      <c r="I122" s="32" t="s">
        <v>37</v>
      </c>
      <c r="J122" s="32" t="s">
        <v>25</v>
      </c>
    </row>
    <row r="123" spans="1:10" x14ac:dyDescent="0.25">
      <c r="A123" s="26">
        <v>45903</v>
      </c>
      <c r="B123" s="27" t="s">
        <v>28</v>
      </c>
      <c r="C123" s="28" t="s">
        <v>20</v>
      </c>
      <c r="D123" s="29">
        <v>45901</v>
      </c>
      <c r="E123" s="30">
        <v>295</v>
      </c>
      <c r="F123" s="28">
        <v>4</v>
      </c>
      <c r="G123" s="31">
        <v>424800000</v>
      </c>
      <c r="H123" s="32">
        <v>1440000</v>
      </c>
      <c r="I123" s="32" t="s">
        <v>37</v>
      </c>
      <c r="J123" s="32" t="s">
        <v>10</v>
      </c>
    </row>
    <row r="124" spans="1:10" x14ac:dyDescent="0.25">
      <c r="A124" s="26">
        <v>45909</v>
      </c>
      <c r="B124" s="27" t="s">
        <v>28</v>
      </c>
      <c r="C124" s="28" t="s">
        <v>20</v>
      </c>
      <c r="D124" s="29">
        <v>45901</v>
      </c>
      <c r="E124" s="30">
        <v>240</v>
      </c>
      <c r="F124" s="28">
        <v>1</v>
      </c>
      <c r="G124" s="31">
        <v>86400000</v>
      </c>
      <c r="H124" s="32">
        <v>360000</v>
      </c>
      <c r="I124" s="32" t="s">
        <v>37</v>
      </c>
      <c r="J124" s="32" t="s">
        <v>10</v>
      </c>
    </row>
    <row r="125" spans="1:10" x14ac:dyDescent="0.25">
      <c r="A125" s="26">
        <v>45909</v>
      </c>
      <c r="B125" s="27" t="s">
        <v>28</v>
      </c>
      <c r="C125" s="28" t="s">
        <v>20</v>
      </c>
      <c r="D125" s="29">
        <v>45901</v>
      </c>
      <c r="E125" s="30">
        <v>250</v>
      </c>
      <c r="F125" s="28">
        <v>1</v>
      </c>
      <c r="G125" s="31">
        <v>90000000</v>
      </c>
      <c r="H125" s="32">
        <v>360000</v>
      </c>
      <c r="I125" s="32" t="s">
        <v>37</v>
      </c>
      <c r="J125" s="32" t="s">
        <v>10</v>
      </c>
    </row>
    <row r="126" spans="1:10" x14ac:dyDescent="0.25">
      <c r="A126" s="15">
        <v>45910</v>
      </c>
      <c r="B126" s="16" t="s">
        <v>28</v>
      </c>
      <c r="C126" s="17" t="s">
        <v>21</v>
      </c>
      <c r="D126" s="18">
        <v>45931</v>
      </c>
      <c r="E126" s="19">
        <v>280</v>
      </c>
      <c r="F126" s="17">
        <v>3</v>
      </c>
      <c r="G126" s="20">
        <v>302400000</v>
      </c>
      <c r="H126" s="21">
        <v>1080000</v>
      </c>
      <c r="I126" s="32" t="s">
        <v>37</v>
      </c>
      <c r="J126" s="21" t="s">
        <v>10</v>
      </c>
    </row>
    <row r="127" spans="1:10" x14ac:dyDescent="0.25">
      <c r="A127" s="26">
        <v>45910</v>
      </c>
      <c r="B127" s="27" t="s">
        <v>28</v>
      </c>
      <c r="C127" s="28" t="s">
        <v>22</v>
      </c>
      <c r="D127" s="29">
        <v>45962</v>
      </c>
      <c r="E127" s="30">
        <v>280</v>
      </c>
      <c r="F127" s="28">
        <v>3</v>
      </c>
      <c r="G127" s="31">
        <v>302400000</v>
      </c>
      <c r="H127" s="32">
        <v>1080000</v>
      </c>
      <c r="I127" s="32" t="s">
        <v>37</v>
      </c>
      <c r="J127" s="32" t="s">
        <v>10</v>
      </c>
    </row>
    <row r="128" spans="1:10" x14ac:dyDescent="0.25">
      <c r="A128" s="26">
        <v>45910</v>
      </c>
      <c r="B128" s="27" t="s">
        <v>30</v>
      </c>
      <c r="C128" s="28" t="s">
        <v>39</v>
      </c>
      <c r="D128" s="29">
        <v>45901</v>
      </c>
      <c r="E128" s="30">
        <v>310</v>
      </c>
      <c r="F128" s="28">
        <v>1</v>
      </c>
      <c r="G128" s="31">
        <v>46500000</v>
      </c>
      <c r="H128" s="32">
        <v>150000</v>
      </c>
      <c r="I128" s="32" t="s">
        <v>37</v>
      </c>
      <c r="J128" s="32" t="s">
        <v>25</v>
      </c>
    </row>
    <row r="129" spans="1:10" x14ac:dyDescent="0.25">
      <c r="A129" s="26">
        <v>45917</v>
      </c>
      <c r="B129" s="27" t="s">
        <v>28</v>
      </c>
      <c r="C129" s="28" t="s">
        <v>21</v>
      </c>
      <c r="D129" s="29">
        <v>45931</v>
      </c>
      <c r="E129" s="30">
        <v>270</v>
      </c>
      <c r="F129" s="28">
        <v>20</v>
      </c>
      <c r="G129" s="31">
        <v>1944000000</v>
      </c>
      <c r="H129" s="32">
        <v>7200000</v>
      </c>
      <c r="I129" s="32" t="s">
        <v>37</v>
      </c>
      <c r="J129" s="32" t="s">
        <v>10</v>
      </c>
    </row>
    <row r="130" spans="1:10" x14ac:dyDescent="0.25">
      <c r="A130" s="15">
        <v>45917</v>
      </c>
      <c r="B130" s="16" t="s">
        <v>28</v>
      </c>
      <c r="C130" s="17" t="s">
        <v>22</v>
      </c>
      <c r="D130" s="18">
        <v>45962</v>
      </c>
      <c r="E130" s="19">
        <v>270</v>
      </c>
      <c r="F130" s="17">
        <v>20</v>
      </c>
      <c r="G130" s="20">
        <v>1944000000</v>
      </c>
      <c r="H130" s="21">
        <v>7200000</v>
      </c>
      <c r="I130" s="32" t="s">
        <v>37</v>
      </c>
      <c r="J130" s="21" t="s">
        <v>10</v>
      </c>
    </row>
    <row r="131" spans="1:10" x14ac:dyDescent="0.25">
      <c r="A131" s="26">
        <v>45918</v>
      </c>
      <c r="B131" s="27" t="s">
        <v>28</v>
      </c>
      <c r="C131" s="28" t="s">
        <v>20</v>
      </c>
      <c r="D131" s="29">
        <v>45901</v>
      </c>
      <c r="E131" s="30">
        <v>265</v>
      </c>
      <c r="F131" s="28">
        <v>20</v>
      </c>
      <c r="G131" s="31">
        <v>1908000000</v>
      </c>
      <c r="H131" s="32">
        <v>7200000</v>
      </c>
      <c r="I131" s="32" t="s">
        <v>37</v>
      </c>
      <c r="J131" s="32" t="s">
        <v>10</v>
      </c>
    </row>
    <row r="132" spans="1:10" x14ac:dyDescent="0.25">
      <c r="A132" s="26">
        <v>45922</v>
      </c>
      <c r="B132" s="27" t="s">
        <v>28</v>
      </c>
      <c r="C132" s="28" t="s">
        <v>20</v>
      </c>
      <c r="D132" s="29">
        <v>45901</v>
      </c>
      <c r="E132" s="30">
        <v>270</v>
      </c>
      <c r="F132" s="28">
        <v>5</v>
      </c>
      <c r="G132" s="31">
        <v>486000000</v>
      </c>
      <c r="H132" s="32">
        <v>1800000</v>
      </c>
      <c r="I132" s="32" t="s">
        <v>37</v>
      </c>
      <c r="J132" s="32" t="s">
        <v>10</v>
      </c>
    </row>
    <row r="133" spans="1:10" x14ac:dyDescent="0.25">
      <c r="A133" s="15">
        <v>45923</v>
      </c>
      <c r="B133" s="16" t="s">
        <v>28</v>
      </c>
      <c r="C133" s="17" t="s">
        <v>20</v>
      </c>
      <c r="D133" s="18">
        <v>45901</v>
      </c>
      <c r="E133" s="19">
        <v>270</v>
      </c>
      <c r="F133" s="17">
        <v>15</v>
      </c>
      <c r="G133" s="20">
        <v>1458000000</v>
      </c>
      <c r="H133" s="21">
        <v>5400000</v>
      </c>
      <c r="I133" s="32" t="s">
        <v>37</v>
      </c>
      <c r="J133" s="21" t="s">
        <v>10</v>
      </c>
    </row>
    <row r="134" spans="1:10" x14ac:dyDescent="0.25">
      <c r="A134" s="26">
        <v>45923</v>
      </c>
      <c r="B134" s="27" t="s">
        <v>28</v>
      </c>
      <c r="C134" s="28" t="s">
        <v>21</v>
      </c>
      <c r="D134" s="29">
        <v>45931</v>
      </c>
      <c r="E134" s="30">
        <v>270</v>
      </c>
      <c r="F134" s="28">
        <v>20</v>
      </c>
      <c r="G134" s="31">
        <v>1944000000</v>
      </c>
      <c r="H134" s="32">
        <v>7200000</v>
      </c>
      <c r="I134" s="32" t="s">
        <v>37</v>
      </c>
      <c r="J134" s="32" t="s">
        <v>10</v>
      </c>
    </row>
    <row r="135" spans="1:10" x14ac:dyDescent="0.25">
      <c r="A135" s="26">
        <v>45924</v>
      </c>
      <c r="B135" s="27" t="s">
        <v>28</v>
      </c>
      <c r="C135" s="28" t="s">
        <v>22</v>
      </c>
      <c r="D135" s="29">
        <v>45962</v>
      </c>
      <c r="E135" s="30">
        <v>270</v>
      </c>
      <c r="F135" s="28">
        <v>10</v>
      </c>
      <c r="G135" s="31">
        <v>972000000</v>
      </c>
      <c r="H135" s="32">
        <v>3600000</v>
      </c>
      <c r="I135" s="32" t="s">
        <v>37</v>
      </c>
      <c r="J135" s="32" t="s">
        <v>10</v>
      </c>
    </row>
    <row r="136" spans="1:10" x14ac:dyDescent="0.25">
      <c r="A136" s="15">
        <v>45924</v>
      </c>
      <c r="B136" s="16" t="s">
        <v>28</v>
      </c>
      <c r="C136" s="17" t="s">
        <v>20</v>
      </c>
      <c r="D136" s="18">
        <v>45901</v>
      </c>
      <c r="E136" s="19">
        <v>280</v>
      </c>
      <c r="F136" s="17">
        <v>2</v>
      </c>
      <c r="G136" s="20">
        <v>201600000</v>
      </c>
      <c r="H136" s="21">
        <v>720000</v>
      </c>
      <c r="I136" s="32" t="s">
        <v>37</v>
      </c>
      <c r="J136" s="21" t="s">
        <v>10</v>
      </c>
    </row>
    <row r="137" spans="1:10" x14ac:dyDescent="0.25">
      <c r="A137" s="15">
        <v>45924</v>
      </c>
      <c r="B137" s="16" t="s">
        <v>28</v>
      </c>
      <c r="C137" s="17" t="s">
        <v>20</v>
      </c>
      <c r="D137" s="18">
        <v>45901</v>
      </c>
      <c r="E137" s="19">
        <v>279.98</v>
      </c>
      <c r="F137" s="17">
        <v>1</v>
      </c>
      <c r="G137" s="20">
        <v>100792800</v>
      </c>
      <c r="H137" s="21">
        <v>360000</v>
      </c>
      <c r="I137" s="32" t="s">
        <v>37</v>
      </c>
      <c r="J137" s="21" t="s">
        <v>10</v>
      </c>
    </row>
    <row r="138" spans="1:10" x14ac:dyDescent="0.25">
      <c r="A138" s="15">
        <v>45925</v>
      </c>
      <c r="B138" s="16" t="s">
        <v>28</v>
      </c>
      <c r="C138" s="17" t="s">
        <v>20</v>
      </c>
      <c r="D138" s="18">
        <v>45901</v>
      </c>
      <c r="E138" s="19">
        <v>280</v>
      </c>
      <c r="F138" s="17">
        <v>18</v>
      </c>
      <c r="G138" s="20">
        <v>1814400000</v>
      </c>
      <c r="H138" s="21">
        <v>6480000</v>
      </c>
      <c r="I138" s="21" t="s">
        <v>37</v>
      </c>
      <c r="J138" s="21" t="s">
        <v>10</v>
      </c>
    </row>
    <row r="139" spans="1:10" x14ac:dyDescent="0.25">
      <c r="A139" s="15">
        <v>45925</v>
      </c>
      <c r="B139" s="16" t="s">
        <v>28</v>
      </c>
      <c r="C139" s="17" t="s">
        <v>20</v>
      </c>
      <c r="D139" s="18">
        <v>45901</v>
      </c>
      <c r="E139" s="19">
        <v>267</v>
      </c>
      <c r="F139" s="17">
        <v>43</v>
      </c>
      <c r="G139" s="20">
        <v>4133160000</v>
      </c>
      <c r="H139" s="21">
        <v>15480000</v>
      </c>
      <c r="I139" s="21" t="s">
        <v>37</v>
      </c>
      <c r="J139" s="21" t="s">
        <v>10</v>
      </c>
    </row>
    <row r="140" spans="1:10" x14ac:dyDescent="0.25">
      <c r="A140" s="15">
        <v>45925</v>
      </c>
      <c r="B140" s="16" t="s">
        <v>28</v>
      </c>
      <c r="C140" s="17" t="s">
        <v>20</v>
      </c>
      <c r="D140" s="18">
        <v>45901</v>
      </c>
      <c r="E140" s="19">
        <v>290</v>
      </c>
      <c r="F140" s="17">
        <v>7</v>
      </c>
      <c r="G140" s="20">
        <v>730800000</v>
      </c>
      <c r="H140" s="21">
        <v>2520000</v>
      </c>
      <c r="I140" s="21" t="s">
        <v>37</v>
      </c>
      <c r="J140" s="21" t="s">
        <v>10</v>
      </c>
    </row>
    <row r="141" spans="1:10" x14ac:dyDescent="0.25">
      <c r="A141" s="26">
        <v>45925</v>
      </c>
      <c r="B141" s="27" t="s">
        <v>28</v>
      </c>
      <c r="C141" s="28" t="s">
        <v>20</v>
      </c>
      <c r="D141" s="29">
        <v>45901</v>
      </c>
      <c r="E141" s="30">
        <v>295</v>
      </c>
      <c r="F141" s="28">
        <v>12</v>
      </c>
      <c r="G141" s="31">
        <v>1274400000</v>
      </c>
      <c r="H141" s="32">
        <v>4320000</v>
      </c>
      <c r="I141" s="32" t="s">
        <v>37</v>
      </c>
      <c r="J141" s="32" t="s">
        <v>10</v>
      </c>
    </row>
    <row r="142" spans="1:10" x14ac:dyDescent="0.25">
      <c r="A142" s="15">
        <v>45929</v>
      </c>
      <c r="B142" s="16" t="s">
        <v>28</v>
      </c>
      <c r="C142" s="17" t="s">
        <v>21</v>
      </c>
      <c r="D142" s="18">
        <v>45931</v>
      </c>
      <c r="E142" s="19">
        <v>280</v>
      </c>
      <c r="F142" s="17">
        <v>7</v>
      </c>
      <c r="G142" s="20">
        <v>705600000</v>
      </c>
      <c r="H142" s="21">
        <v>2520000</v>
      </c>
      <c r="I142" s="32" t="s">
        <v>37</v>
      </c>
      <c r="J142" s="21" t="s">
        <v>10</v>
      </c>
    </row>
    <row r="143" spans="1:10" x14ac:dyDescent="0.25">
      <c r="A143" s="15">
        <v>45929</v>
      </c>
      <c r="B143" s="16" t="s">
        <v>28</v>
      </c>
      <c r="C143" s="17" t="s">
        <v>23</v>
      </c>
      <c r="D143" s="18">
        <v>45992</v>
      </c>
      <c r="E143" s="19">
        <v>330</v>
      </c>
      <c r="F143" s="17">
        <v>2</v>
      </c>
      <c r="G143" s="20">
        <v>237600000</v>
      </c>
      <c r="H143" s="21">
        <v>720000</v>
      </c>
      <c r="I143" s="32" t="s">
        <v>37</v>
      </c>
      <c r="J143" s="21" t="s">
        <v>10</v>
      </c>
    </row>
    <row r="144" spans="1:10" x14ac:dyDescent="0.25">
      <c r="A144" s="15">
        <v>45929</v>
      </c>
      <c r="B144" s="16" t="s">
        <v>28</v>
      </c>
      <c r="C144" s="17" t="s">
        <v>20</v>
      </c>
      <c r="D144" s="18">
        <v>45901</v>
      </c>
      <c r="E144" s="19">
        <v>300</v>
      </c>
      <c r="F144" s="17">
        <v>5</v>
      </c>
      <c r="G144" s="20">
        <v>540000000</v>
      </c>
      <c r="H144" s="21">
        <v>1800000</v>
      </c>
      <c r="I144" s="32" t="s">
        <v>37</v>
      </c>
      <c r="J144" s="21" t="s">
        <v>10</v>
      </c>
    </row>
    <row r="145" spans="1:10" x14ac:dyDescent="0.25">
      <c r="A145" s="26">
        <v>45929</v>
      </c>
      <c r="B145" s="27" t="s">
        <v>28</v>
      </c>
      <c r="C145" s="28" t="s">
        <v>21</v>
      </c>
      <c r="D145" s="29">
        <v>45931</v>
      </c>
      <c r="E145" s="30">
        <v>280</v>
      </c>
      <c r="F145" s="28">
        <v>3</v>
      </c>
      <c r="G145" s="31">
        <v>302400000</v>
      </c>
      <c r="H145" s="32">
        <v>1080000</v>
      </c>
      <c r="I145" s="32" t="s">
        <v>37</v>
      </c>
      <c r="J145" s="32" t="s">
        <v>10</v>
      </c>
    </row>
    <row r="146" spans="1:10" x14ac:dyDescent="0.25">
      <c r="A146" s="26">
        <v>45930</v>
      </c>
      <c r="B146" s="27" t="s">
        <v>28</v>
      </c>
      <c r="C146" s="28" t="s">
        <v>23</v>
      </c>
      <c r="D146" s="29">
        <v>45992</v>
      </c>
      <c r="E146" s="30">
        <v>330</v>
      </c>
      <c r="F146" s="28">
        <v>1</v>
      </c>
      <c r="G146" s="31">
        <v>118800000</v>
      </c>
      <c r="H146" s="32">
        <v>360000</v>
      </c>
      <c r="I146" s="32" t="s">
        <v>37</v>
      </c>
      <c r="J146" s="32" t="s">
        <v>10</v>
      </c>
    </row>
    <row r="147" spans="1:10" x14ac:dyDescent="0.25">
      <c r="A147" s="15">
        <v>45936</v>
      </c>
      <c r="B147" s="16" t="s">
        <v>28</v>
      </c>
      <c r="C147" s="17" t="s">
        <v>23</v>
      </c>
      <c r="D147" s="18">
        <v>45992</v>
      </c>
      <c r="E147" s="19">
        <v>320</v>
      </c>
      <c r="F147" s="17">
        <v>3</v>
      </c>
      <c r="G147" s="20">
        <v>345600000</v>
      </c>
      <c r="H147" s="21">
        <v>1080000</v>
      </c>
      <c r="I147" s="32" t="s">
        <v>37</v>
      </c>
      <c r="J147" s="21" t="s">
        <v>10</v>
      </c>
    </row>
    <row r="148" spans="1:10" x14ac:dyDescent="0.25">
      <c r="A148" s="15">
        <v>45936</v>
      </c>
      <c r="B148" s="16" t="s">
        <v>28</v>
      </c>
      <c r="C148" s="17" t="s">
        <v>23</v>
      </c>
      <c r="D148" s="18">
        <v>45992</v>
      </c>
      <c r="E148" s="19">
        <v>320</v>
      </c>
      <c r="F148" s="17">
        <v>2</v>
      </c>
      <c r="G148" s="20">
        <v>230400000</v>
      </c>
      <c r="H148" s="21">
        <v>720000</v>
      </c>
      <c r="I148" s="32" t="s">
        <v>37</v>
      </c>
      <c r="J148" s="21" t="s">
        <v>10</v>
      </c>
    </row>
    <row r="149" spans="1:10" x14ac:dyDescent="0.25">
      <c r="A149" s="26">
        <v>45936</v>
      </c>
      <c r="B149" s="27" t="s">
        <v>28</v>
      </c>
      <c r="C149" s="28" t="s">
        <v>21</v>
      </c>
      <c r="D149" s="29">
        <v>45931</v>
      </c>
      <c r="E149" s="30">
        <v>280</v>
      </c>
      <c r="F149" s="28">
        <v>1</v>
      </c>
      <c r="G149" s="31">
        <v>100800000</v>
      </c>
      <c r="H149" s="32">
        <v>360000</v>
      </c>
      <c r="I149" s="32" t="s">
        <v>37</v>
      </c>
      <c r="J149" s="32" t="s">
        <v>10</v>
      </c>
    </row>
    <row r="150" spans="1:10" x14ac:dyDescent="0.25">
      <c r="A150" s="15">
        <v>45938</v>
      </c>
      <c r="B150" s="16" t="s">
        <v>28</v>
      </c>
      <c r="C150" s="17" t="s">
        <v>22</v>
      </c>
      <c r="D150" s="18">
        <v>45962</v>
      </c>
      <c r="E150" s="19">
        <v>300</v>
      </c>
      <c r="F150" s="17">
        <v>4</v>
      </c>
      <c r="G150" s="20">
        <v>432000000</v>
      </c>
      <c r="H150" s="21">
        <v>1440000</v>
      </c>
      <c r="I150" s="32" t="s">
        <v>37</v>
      </c>
      <c r="J150" s="21" t="s">
        <v>10</v>
      </c>
    </row>
    <row r="151" spans="1:10" x14ac:dyDescent="0.25">
      <c r="A151" s="15">
        <v>45938</v>
      </c>
      <c r="B151" s="16" t="s">
        <v>28</v>
      </c>
      <c r="C151" s="17" t="s">
        <v>21</v>
      </c>
      <c r="D151" s="18">
        <v>45931</v>
      </c>
      <c r="E151" s="19">
        <v>280</v>
      </c>
      <c r="F151" s="17">
        <v>4</v>
      </c>
      <c r="G151" s="20">
        <v>403200000</v>
      </c>
      <c r="H151" s="21">
        <v>1440000</v>
      </c>
      <c r="I151" s="32" t="s">
        <v>37</v>
      </c>
      <c r="J151" s="21" t="s">
        <v>10</v>
      </c>
    </row>
    <row r="152" spans="1:10" x14ac:dyDescent="0.25">
      <c r="A152" s="15">
        <v>45938</v>
      </c>
      <c r="B152" s="16" t="s">
        <v>28</v>
      </c>
      <c r="C152" s="17" t="s">
        <v>21</v>
      </c>
      <c r="D152" s="18">
        <v>45931</v>
      </c>
      <c r="E152" s="19">
        <v>280</v>
      </c>
      <c r="F152" s="17">
        <v>22</v>
      </c>
      <c r="G152" s="20">
        <v>2217600000</v>
      </c>
      <c r="H152" s="21">
        <v>7920000</v>
      </c>
      <c r="I152" s="32" t="s">
        <v>37</v>
      </c>
      <c r="J152" s="21" t="s">
        <v>10</v>
      </c>
    </row>
    <row r="153" spans="1:10" x14ac:dyDescent="0.25">
      <c r="A153" s="26">
        <v>45938</v>
      </c>
      <c r="B153" s="27" t="s">
        <v>28</v>
      </c>
      <c r="C153" s="28" t="s">
        <v>21</v>
      </c>
      <c r="D153" s="29">
        <v>45931</v>
      </c>
      <c r="E153" s="30">
        <v>280</v>
      </c>
      <c r="F153" s="28">
        <v>3</v>
      </c>
      <c r="G153" s="31">
        <v>302400000</v>
      </c>
      <c r="H153" s="32">
        <v>1080000</v>
      </c>
      <c r="I153" s="32" t="s">
        <v>37</v>
      </c>
      <c r="J153" s="32" t="s">
        <v>10</v>
      </c>
    </row>
    <row r="154" spans="1:10" x14ac:dyDescent="0.25">
      <c r="A154" s="26">
        <v>45947</v>
      </c>
      <c r="B154" s="27" t="s">
        <v>28</v>
      </c>
      <c r="C154" s="28" t="s">
        <v>23</v>
      </c>
      <c r="D154" s="29">
        <v>45992</v>
      </c>
      <c r="E154" s="30">
        <v>310</v>
      </c>
      <c r="F154" s="28">
        <v>1</v>
      </c>
      <c r="G154" s="31">
        <v>111600000</v>
      </c>
      <c r="H154" s="32">
        <v>360000</v>
      </c>
      <c r="I154" s="32" t="s">
        <v>37</v>
      </c>
      <c r="J154" s="32" t="s">
        <v>10</v>
      </c>
    </row>
    <row r="155" spans="1:10" x14ac:dyDescent="0.25">
      <c r="A155" s="15">
        <v>45947</v>
      </c>
      <c r="B155" s="16" t="s">
        <v>28</v>
      </c>
      <c r="C155" s="17" t="s">
        <v>22</v>
      </c>
      <c r="D155" s="18">
        <v>45962</v>
      </c>
      <c r="E155" s="19">
        <v>250</v>
      </c>
      <c r="F155" s="17">
        <v>10</v>
      </c>
      <c r="G155" s="20">
        <v>900000000</v>
      </c>
      <c r="H155" s="21">
        <v>3600000</v>
      </c>
      <c r="I155" s="32" t="s">
        <v>37</v>
      </c>
      <c r="J155" s="21" t="s">
        <v>10</v>
      </c>
    </row>
    <row r="156" spans="1:10" x14ac:dyDescent="0.25">
      <c r="A156" s="15">
        <v>45947</v>
      </c>
      <c r="B156" s="16" t="s">
        <v>28</v>
      </c>
      <c r="C156" s="17" t="s">
        <v>22</v>
      </c>
      <c r="D156" s="18">
        <v>45962</v>
      </c>
      <c r="E156" s="19">
        <v>250</v>
      </c>
      <c r="F156" s="17">
        <v>4</v>
      </c>
      <c r="G156" s="20">
        <v>360000000</v>
      </c>
      <c r="H156" s="21">
        <v>1440000</v>
      </c>
      <c r="I156" s="32" t="s">
        <v>37</v>
      </c>
      <c r="J156" s="21" t="s">
        <v>10</v>
      </c>
    </row>
    <row r="157" spans="1:10" x14ac:dyDescent="0.25">
      <c r="A157" s="15">
        <v>45947</v>
      </c>
      <c r="B157" s="16" t="s">
        <v>28</v>
      </c>
      <c r="C157" s="17" t="s">
        <v>21</v>
      </c>
      <c r="D157" s="18">
        <v>45931</v>
      </c>
      <c r="E157" s="19">
        <v>215</v>
      </c>
      <c r="F157" s="17">
        <v>2</v>
      </c>
      <c r="G157" s="20">
        <v>154800000</v>
      </c>
      <c r="H157" s="21">
        <v>720000</v>
      </c>
      <c r="I157" s="32" t="s">
        <v>37</v>
      </c>
      <c r="J157" s="21" t="s">
        <v>10</v>
      </c>
    </row>
    <row r="158" spans="1:10" x14ac:dyDescent="0.25">
      <c r="A158" s="15">
        <v>45947</v>
      </c>
      <c r="B158" s="16" t="s">
        <v>28</v>
      </c>
      <c r="C158" s="17" t="s">
        <v>22</v>
      </c>
      <c r="D158" s="18">
        <v>45962</v>
      </c>
      <c r="E158" s="19">
        <v>250</v>
      </c>
      <c r="F158" s="17">
        <v>1</v>
      </c>
      <c r="G158" s="20">
        <v>90000000</v>
      </c>
      <c r="H158" s="21">
        <v>360000</v>
      </c>
      <c r="I158" s="32" t="s">
        <v>37</v>
      </c>
      <c r="J158" s="21" t="s">
        <v>10</v>
      </c>
    </row>
    <row r="159" spans="1:10" x14ac:dyDescent="0.25">
      <c r="A159" s="15">
        <v>45947</v>
      </c>
      <c r="B159" s="16" t="s">
        <v>28</v>
      </c>
      <c r="C159" s="17" t="s">
        <v>22</v>
      </c>
      <c r="D159" s="18">
        <v>45962</v>
      </c>
      <c r="E159" s="19">
        <v>250</v>
      </c>
      <c r="F159" s="17">
        <v>1</v>
      </c>
      <c r="G159" s="20">
        <v>90000000</v>
      </c>
      <c r="H159" s="21">
        <v>360000</v>
      </c>
      <c r="I159" s="32" t="s">
        <v>37</v>
      </c>
      <c r="J159" s="21" t="s">
        <v>10</v>
      </c>
    </row>
    <row r="160" spans="1:10" x14ac:dyDescent="0.25">
      <c r="A160" s="15">
        <v>45947</v>
      </c>
      <c r="B160" s="16" t="s">
        <v>28</v>
      </c>
      <c r="C160" s="17" t="s">
        <v>22</v>
      </c>
      <c r="D160" s="18">
        <v>45962</v>
      </c>
      <c r="E160" s="19">
        <v>250</v>
      </c>
      <c r="F160" s="17">
        <v>1</v>
      </c>
      <c r="G160" s="20">
        <v>90000000</v>
      </c>
      <c r="H160" s="21">
        <v>360000</v>
      </c>
      <c r="I160" s="32" t="s">
        <v>37</v>
      </c>
      <c r="J160" s="21" t="s">
        <v>10</v>
      </c>
    </row>
    <row r="161" spans="1:10" x14ac:dyDescent="0.25">
      <c r="A161" s="15">
        <v>45947</v>
      </c>
      <c r="B161" s="16" t="s">
        <v>28</v>
      </c>
      <c r="C161" s="17" t="s">
        <v>22</v>
      </c>
      <c r="D161" s="18">
        <v>45962</v>
      </c>
      <c r="E161" s="19">
        <v>250</v>
      </c>
      <c r="F161" s="17">
        <v>14</v>
      </c>
      <c r="G161" s="20">
        <v>1260000000</v>
      </c>
      <c r="H161" s="21">
        <v>5040000</v>
      </c>
      <c r="I161" s="32" t="s">
        <v>37</v>
      </c>
      <c r="J161" s="21" t="s">
        <v>10</v>
      </c>
    </row>
    <row r="162" spans="1:10" x14ac:dyDescent="0.25">
      <c r="A162" s="15">
        <v>45950</v>
      </c>
      <c r="B162" s="16" t="s">
        <v>28</v>
      </c>
      <c r="C162" s="17" t="s">
        <v>21</v>
      </c>
      <c r="D162" s="18">
        <v>45931</v>
      </c>
      <c r="E162" s="19">
        <v>215</v>
      </c>
      <c r="F162" s="17">
        <v>8</v>
      </c>
      <c r="G162" s="20">
        <v>619200000</v>
      </c>
      <c r="H162" s="21">
        <v>2880000</v>
      </c>
      <c r="I162" s="32" t="s">
        <v>37</v>
      </c>
      <c r="J162" s="21" t="s">
        <v>10</v>
      </c>
    </row>
    <row r="163" spans="1:10" x14ac:dyDescent="0.25">
      <c r="A163" s="26">
        <v>45950</v>
      </c>
      <c r="B163" s="27" t="s">
        <v>28</v>
      </c>
      <c r="C163" s="28" t="s">
        <v>21</v>
      </c>
      <c r="D163" s="29">
        <v>45931</v>
      </c>
      <c r="E163" s="30">
        <v>215</v>
      </c>
      <c r="F163" s="28">
        <v>5</v>
      </c>
      <c r="G163" s="31">
        <v>387000000</v>
      </c>
      <c r="H163" s="32">
        <v>1800000</v>
      </c>
      <c r="I163" s="32" t="s">
        <v>37</v>
      </c>
      <c r="J163" s="32" t="s">
        <v>10</v>
      </c>
    </row>
    <row r="164" spans="1:10" x14ac:dyDescent="0.25">
      <c r="A164" s="26">
        <v>45950</v>
      </c>
      <c r="B164" s="27" t="s">
        <v>28</v>
      </c>
      <c r="C164" s="28" t="s">
        <v>21</v>
      </c>
      <c r="D164" s="29">
        <v>45931</v>
      </c>
      <c r="E164" s="30">
        <v>200</v>
      </c>
      <c r="F164" s="28">
        <v>2</v>
      </c>
      <c r="G164" s="31">
        <v>144000000</v>
      </c>
      <c r="H164" s="32">
        <v>720000</v>
      </c>
      <c r="I164" s="32" t="s">
        <v>37</v>
      </c>
      <c r="J164" s="32" t="s">
        <v>10</v>
      </c>
    </row>
    <row r="165" spans="1:10" x14ac:dyDescent="0.25">
      <c r="A165" s="26">
        <v>45951</v>
      </c>
      <c r="B165" s="27" t="s">
        <v>28</v>
      </c>
      <c r="C165" s="28" t="s">
        <v>21</v>
      </c>
      <c r="D165" s="29">
        <v>45931</v>
      </c>
      <c r="E165" s="30">
        <v>200</v>
      </c>
      <c r="F165" s="28">
        <v>8</v>
      </c>
      <c r="G165" s="31">
        <v>576000000</v>
      </c>
      <c r="H165" s="32">
        <v>2880000</v>
      </c>
      <c r="I165" s="32" t="s">
        <v>37</v>
      </c>
      <c r="J165" s="32" t="s">
        <v>10</v>
      </c>
    </row>
    <row r="166" spans="1:10" x14ac:dyDescent="0.25">
      <c r="A166" s="26">
        <v>45953</v>
      </c>
      <c r="B166" s="27" t="s">
        <v>28</v>
      </c>
      <c r="C166" s="28" t="s">
        <v>21</v>
      </c>
      <c r="D166" s="29">
        <v>45931</v>
      </c>
      <c r="E166" s="30">
        <v>194.98</v>
      </c>
      <c r="F166" s="28">
        <v>35</v>
      </c>
      <c r="G166" s="31">
        <v>2456748000</v>
      </c>
      <c r="H166" s="32">
        <v>12600000</v>
      </c>
      <c r="I166" s="32" t="s">
        <v>37</v>
      </c>
      <c r="J166" s="32" t="s">
        <v>10</v>
      </c>
    </row>
    <row r="167" spans="1:10" x14ac:dyDescent="0.25">
      <c r="A167" s="26">
        <v>45954</v>
      </c>
      <c r="B167" s="27" t="s">
        <v>28</v>
      </c>
      <c r="C167" s="28" t="s">
        <v>21</v>
      </c>
      <c r="D167" s="29">
        <v>45931</v>
      </c>
      <c r="E167" s="30">
        <v>186</v>
      </c>
      <c r="F167" s="28">
        <v>3</v>
      </c>
      <c r="G167" s="31">
        <v>200880000</v>
      </c>
      <c r="H167" s="32">
        <v>1080000</v>
      </c>
      <c r="I167" s="32" t="s">
        <v>37</v>
      </c>
      <c r="J167" s="32" t="s">
        <v>10</v>
      </c>
    </row>
    <row r="168" spans="1:10" x14ac:dyDescent="0.25">
      <c r="A168" s="15">
        <v>45957</v>
      </c>
      <c r="B168" s="16" t="s">
        <v>28</v>
      </c>
      <c r="C168" s="17" t="s">
        <v>22</v>
      </c>
      <c r="D168" s="18">
        <v>45962</v>
      </c>
      <c r="E168" s="19">
        <v>190</v>
      </c>
      <c r="F168" s="17">
        <v>20</v>
      </c>
      <c r="G168" s="20">
        <v>1368000000</v>
      </c>
      <c r="H168" s="21">
        <v>7200000</v>
      </c>
      <c r="I168" s="32" t="s">
        <v>37</v>
      </c>
      <c r="J168" s="21" t="s">
        <v>10</v>
      </c>
    </row>
    <row r="169" spans="1:10" x14ac:dyDescent="0.25">
      <c r="A169" s="15">
        <v>45957</v>
      </c>
      <c r="B169" s="16" t="s">
        <v>28</v>
      </c>
      <c r="C169" s="17" t="s">
        <v>22</v>
      </c>
      <c r="D169" s="18">
        <v>45962</v>
      </c>
      <c r="E169" s="19">
        <v>190</v>
      </c>
      <c r="F169" s="17">
        <v>2</v>
      </c>
      <c r="G169" s="20">
        <v>136800000</v>
      </c>
      <c r="H169" s="21">
        <v>720000</v>
      </c>
      <c r="I169" s="32" t="s">
        <v>37</v>
      </c>
      <c r="J169" s="21" t="s">
        <v>10</v>
      </c>
    </row>
    <row r="170" spans="1:10" x14ac:dyDescent="0.25">
      <c r="A170" s="15">
        <v>45957</v>
      </c>
      <c r="B170" s="16" t="s">
        <v>28</v>
      </c>
      <c r="C170" s="17" t="s">
        <v>23</v>
      </c>
      <c r="D170" s="18">
        <v>45992</v>
      </c>
      <c r="E170" s="19">
        <v>280</v>
      </c>
      <c r="F170" s="17">
        <v>20</v>
      </c>
      <c r="G170" s="20">
        <v>2016000000</v>
      </c>
      <c r="H170" s="21">
        <v>7200000</v>
      </c>
      <c r="I170" s="32" t="s">
        <v>37</v>
      </c>
      <c r="J170" s="21" t="s">
        <v>10</v>
      </c>
    </row>
    <row r="171" spans="1:10" x14ac:dyDescent="0.25">
      <c r="A171" s="26">
        <v>45957</v>
      </c>
      <c r="B171" s="27" t="s">
        <v>28</v>
      </c>
      <c r="C171" s="28" t="s">
        <v>23</v>
      </c>
      <c r="D171" s="29">
        <v>45992</v>
      </c>
      <c r="E171" s="30">
        <v>280</v>
      </c>
      <c r="F171" s="28">
        <v>10</v>
      </c>
      <c r="G171" s="31">
        <v>1008000000</v>
      </c>
      <c r="H171" s="32">
        <v>3600000</v>
      </c>
      <c r="I171" s="32" t="s">
        <v>37</v>
      </c>
      <c r="J171" s="32" t="s">
        <v>10</v>
      </c>
    </row>
    <row r="172" spans="1:10" x14ac:dyDescent="0.25">
      <c r="A172" s="26">
        <v>45958</v>
      </c>
      <c r="B172" s="27" t="s">
        <v>28</v>
      </c>
      <c r="C172" s="28" t="s">
        <v>21</v>
      </c>
      <c r="D172" s="29">
        <v>45931</v>
      </c>
      <c r="E172" s="30">
        <v>180</v>
      </c>
      <c r="F172" s="28">
        <v>2</v>
      </c>
      <c r="G172" s="31">
        <v>129600000</v>
      </c>
      <c r="H172" s="32">
        <v>720000</v>
      </c>
      <c r="I172" s="32" t="s">
        <v>37</v>
      </c>
      <c r="J172" s="32" t="s">
        <v>10</v>
      </c>
    </row>
    <row r="173" spans="1:10" x14ac:dyDescent="0.25">
      <c r="A173" s="26">
        <v>45959</v>
      </c>
      <c r="B173" s="27" t="s">
        <v>28</v>
      </c>
      <c r="C173" s="28" t="s">
        <v>22</v>
      </c>
      <c r="D173" s="29">
        <v>45962</v>
      </c>
      <c r="E173" s="30">
        <v>190</v>
      </c>
      <c r="F173" s="28">
        <v>6</v>
      </c>
      <c r="G173" s="31">
        <v>410400000</v>
      </c>
      <c r="H173" s="32">
        <v>2160000</v>
      </c>
      <c r="I173" s="32" t="s">
        <v>37</v>
      </c>
      <c r="J173" s="32" t="s">
        <v>10</v>
      </c>
    </row>
    <row r="174" spans="1:10" x14ac:dyDescent="0.25">
      <c r="A174" s="15">
        <v>45966</v>
      </c>
      <c r="B174" s="16" t="s">
        <v>28</v>
      </c>
      <c r="C174" s="17" t="s">
        <v>40</v>
      </c>
      <c r="D174" s="18">
        <v>46023</v>
      </c>
      <c r="E174" s="19">
        <v>408</v>
      </c>
      <c r="F174" s="17">
        <v>1</v>
      </c>
      <c r="G174" s="20">
        <v>146880000</v>
      </c>
      <c r="H174" s="21">
        <v>360000</v>
      </c>
      <c r="I174" s="21" t="s">
        <v>36</v>
      </c>
      <c r="J174" s="32" t="s">
        <v>25</v>
      </c>
    </row>
    <row r="175" spans="1:10" x14ac:dyDescent="0.25">
      <c r="A175" s="15">
        <v>45966</v>
      </c>
      <c r="B175" s="16" t="s">
        <v>28</v>
      </c>
      <c r="C175" s="17" t="s">
        <v>41</v>
      </c>
      <c r="D175" s="18">
        <v>46054</v>
      </c>
      <c r="E175" s="19">
        <v>408</v>
      </c>
      <c r="F175" s="17">
        <v>1</v>
      </c>
      <c r="G175" s="20">
        <v>146880000</v>
      </c>
      <c r="H175" s="21">
        <v>360000</v>
      </c>
      <c r="I175" s="21" t="s">
        <v>36</v>
      </c>
      <c r="J175" s="32" t="s">
        <v>25</v>
      </c>
    </row>
    <row r="176" spans="1:10" x14ac:dyDescent="0.25">
      <c r="A176" s="15">
        <v>45966</v>
      </c>
      <c r="B176" s="16" t="s">
        <v>28</v>
      </c>
      <c r="C176" s="17" t="s">
        <v>42</v>
      </c>
      <c r="D176" s="18">
        <v>46082</v>
      </c>
      <c r="E176" s="19">
        <v>408</v>
      </c>
      <c r="F176" s="17">
        <v>1</v>
      </c>
      <c r="G176" s="20">
        <v>146880000</v>
      </c>
      <c r="H176" s="21">
        <v>360000</v>
      </c>
      <c r="I176" s="21" t="s">
        <v>36</v>
      </c>
      <c r="J176" s="32" t="s">
        <v>25</v>
      </c>
    </row>
    <row r="177" spans="1:10" x14ac:dyDescent="0.25">
      <c r="A177" s="15">
        <v>45966</v>
      </c>
      <c r="B177" s="16" t="s">
        <v>28</v>
      </c>
      <c r="C177" s="17" t="s">
        <v>43</v>
      </c>
      <c r="D177" s="18">
        <v>46113</v>
      </c>
      <c r="E177" s="19">
        <v>408</v>
      </c>
      <c r="F177" s="17">
        <v>1</v>
      </c>
      <c r="G177" s="20">
        <v>146880000</v>
      </c>
      <c r="H177" s="21">
        <v>360000</v>
      </c>
      <c r="I177" s="21" t="s">
        <v>36</v>
      </c>
      <c r="J177" s="32" t="s">
        <v>25</v>
      </c>
    </row>
    <row r="178" spans="1:10" x14ac:dyDescent="0.25">
      <c r="A178" s="15">
        <v>45966</v>
      </c>
      <c r="B178" s="16" t="s">
        <v>28</v>
      </c>
      <c r="C178" s="17" t="s">
        <v>44</v>
      </c>
      <c r="D178" s="18">
        <v>46143</v>
      </c>
      <c r="E178" s="19">
        <v>408</v>
      </c>
      <c r="F178" s="17">
        <v>1</v>
      </c>
      <c r="G178" s="20">
        <v>146880000</v>
      </c>
      <c r="H178" s="21">
        <v>360000</v>
      </c>
      <c r="I178" s="21" t="s">
        <v>36</v>
      </c>
      <c r="J178" s="32" t="s">
        <v>25</v>
      </c>
    </row>
    <row r="179" spans="1:10" x14ac:dyDescent="0.25">
      <c r="A179" s="15">
        <v>45966</v>
      </c>
      <c r="B179" s="16" t="s">
        <v>28</v>
      </c>
      <c r="C179" s="17" t="s">
        <v>45</v>
      </c>
      <c r="D179" s="18">
        <v>46174</v>
      </c>
      <c r="E179" s="19">
        <v>408</v>
      </c>
      <c r="F179" s="17">
        <v>1</v>
      </c>
      <c r="G179" s="20">
        <v>146880000</v>
      </c>
      <c r="H179" s="21">
        <v>360000</v>
      </c>
      <c r="I179" s="21" t="s">
        <v>36</v>
      </c>
      <c r="J179" s="32" t="s">
        <v>25</v>
      </c>
    </row>
    <row r="180" spans="1:10" x14ac:dyDescent="0.25">
      <c r="A180" s="15">
        <v>45966</v>
      </c>
      <c r="B180" s="16" t="s">
        <v>28</v>
      </c>
      <c r="C180" s="17" t="s">
        <v>46</v>
      </c>
      <c r="D180" s="18">
        <v>46204</v>
      </c>
      <c r="E180" s="19">
        <v>408</v>
      </c>
      <c r="F180" s="17">
        <v>1</v>
      </c>
      <c r="G180" s="20">
        <v>146880000</v>
      </c>
      <c r="H180" s="21">
        <v>360000</v>
      </c>
      <c r="I180" s="21" t="s">
        <v>36</v>
      </c>
      <c r="J180" s="32" t="s">
        <v>25</v>
      </c>
    </row>
    <row r="181" spans="1:10" x14ac:dyDescent="0.25">
      <c r="A181" s="15">
        <v>45966</v>
      </c>
      <c r="B181" s="16" t="s">
        <v>28</v>
      </c>
      <c r="C181" s="17" t="s">
        <v>47</v>
      </c>
      <c r="D181" s="18">
        <v>46235</v>
      </c>
      <c r="E181" s="19">
        <v>408</v>
      </c>
      <c r="F181" s="17">
        <v>1</v>
      </c>
      <c r="G181" s="20">
        <v>146880000</v>
      </c>
      <c r="H181" s="21">
        <v>360000</v>
      </c>
      <c r="I181" s="21" t="s">
        <v>36</v>
      </c>
      <c r="J181" s="32" t="s">
        <v>25</v>
      </c>
    </row>
    <row r="182" spans="1:10" x14ac:dyDescent="0.25">
      <c r="A182" s="15">
        <v>45966</v>
      </c>
      <c r="B182" s="16" t="s">
        <v>28</v>
      </c>
      <c r="C182" s="17" t="s">
        <v>48</v>
      </c>
      <c r="D182" s="18">
        <v>46266</v>
      </c>
      <c r="E182" s="19">
        <v>408</v>
      </c>
      <c r="F182" s="17">
        <v>1</v>
      </c>
      <c r="G182" s="20">
        <v>146880000</v>
      </c>
      <c r="H182" s="21">
        <v>360000</v>
      </c>
      <c r="I182" s="21" t="s">
        <v>36</v>
      </c>
      <c r="J182" s="32" t="s">
        <v>25</v>
      </c>
    </row>
    <row r="183" spans="1:10" x14ac:dyDescent="0.25">
      <c r="A183" s="15">
        <v>45966</v>
      </c>
      <c r="B183" s="16" t="s">
        <v>28</v>
      </c>
      <c r="C183" s="17" t="s">
        <v>49</v>
      </c>
      <c r="D183" s="18">
        <v>46296</v>
      </c>
      <c r="E183" s="19">
        <v>408</v>
      </c>
      <c r="F183" s="17">
        <v>1</v>
      </c>
      <c r="G183" s="20">
        <v>146880000</v>
      </c>
      <c r="H183" s="21">
        <v>360000</v>
      </c>
      <c r="I183" s="21" t="s">
        <v>36</v>
      </c>
      <c r="J183" s="32" t="s">
        <v>25</v>
      </c>
    </row>
    <row r="184" spans="1:10" x14ac:dyDescent="0.25">
      <c r="A184" s="15">
        <v>45966</v>
      </c>
      <c r="B184" s="16" t="s">
        <v>28</v>
      </c>
      <c r="C184" s="17" t="s">
        <v>50</v>
      </c>
      <c r="D184" s="18">
        <v>46327</v>
      </c>
      <c r="E184" s="19">
        <v>408</v>
      </c>
      <c r="F184" s="17">
        <v>1</v>
      </c>
      <c r="G184" s="20">
        <v>146880000</v>
      </c>
      <c r="H184" s="21">
        <v>360000</v>
      </c>
      <c r="I184" s="21" t="s">
        <v>36</v>
      </c>
      <c r="J184" s="32" t="s">
        <v>25</v>
      </c>
    </row>
    <row r="185" spans="1:10" x14ac:dyDescent="0.25">
      <c r="A185" s="15">
        <v>45966</v>
      </c>
      <c r="B185" s="16" t="s">
        <v>28</v>
      </c>
      <c r="C185" s="17" t="s">
        <v>51</v>
      </c>
      <c r="D185" s="18">
        <v>46357</v>
      </c>
      <c r="E185" s="19">
        <v>408</v>
      </c>
      <c r="F185" s="17">
        <v>1</v>
      </c>
      <c r="G185" s="20">
        <v>146880000</v>
      </c>
      <c r="H185" s="21">
        <v>360000</v>
      </c>
      <c r="I185" s="21" t="s">
        <v>36</v>
      </c>
      <c r="J185" s="32" t="s">
        <v>25</v>
      </c>
    </row>
    <row r="186" spans="1:10" x14ac:dyDescent="0.25">
      <c r="A186" s="15">
        <v>45966</v>
      </c>
      <c r="B186" s="16" t="s">
        <v>28</v>
      </c>
      <c r="C186" s="17" t="s">
        <v>22</v>
      </c>
      <c r="D186" s="18">
        <v>45962</v>
      </c>
      <c r="E186" s="19">
        <v>250</v>
      </c>
      <c r="F186" s="17">
        <v>8</v>
      </c>
      <c r="G186" s="20">
        <v>720000000</v>
      </c>
      <c r="H186" s="21">
        <v>2880000</v>
      </c>
      <c r="I186" s="32" t="s">
        <v>37</v>
      </c>
      <c r="J186" s="21" t="s">
        <v>11</v>
      </c>
    </row>
    <row r="187" spans="1:10" x14ac:dyDescent="0.25">
      <c r="A187" s="26">
        <v>45966</v>
      </c>
      <c r="B187" s="27" t="s">
        <v>28</v>
      </c>
      <c r="C187" s="28" t="s">
        <v>23</v>
      </c>
      <c r="D187" s="29">
        <v>45992</v>
      </c>
      <c r="E187" s="30">
        <v>344.44</v>
      </c>
      <c r="F187" s="28">
        <v>9</v>
      </c>
      <c r="G187" s="31">
        <v>1115985600</v>
      </c>
      <c r="H187" s="32">
        <v>3240000</v>
      </c>
      <c r="I187" s="32" t="s">
        <v>37</v>
      </c>
      <c r="J187" s="32" t="s">
        <v>11</v>
      </c>
    </row>
    <row r="188" spans="1:10" x14ac:dyDescent="0.25">
      <c r="A188" s="26">
        <v>45967</v>
      </c>
      <c r="B188" s="27" t="s">
        <v>28</v>
      </c>
      <c r="C188" s="28" t="s">
        <v>22</v>
      </c>
      <c r="D188" s="29">
        <v>45962</v>
      </c>
      <c r="E188" s="30">
        <v>190</v>
      </c>
      <c r="F188" s="28">
        <v>7</v>
      </c>
      <c r="G188" s="31">
        <v>478800000</v>
      </c>
      <c r="H188" s="32">
        <v>2520000</v>
      </c>
      <c r="I188" s="32" t="s">
        <v>37</v>
      </c>
      <c r="J188" s="32" t="s">
        <v>10</v>
      </c>
    </row>
    <row r="189" spans="1:10" x14ac:dyDescent="0.25">
      <c r="A189" s="26">
        <v>45967</v>
      </c>
      <c r="B189" s="27" t="s">
        <v>28</v>
      </c>
      <c r="C189" s="28" t="s">
        <v>22</v>
      </c>
      <c r="D189" s="29">
        <v>45962</v>
      </c>
      <c r="E189" s="30">
        <v>190</v>
      </c>
      <c r="F189" s="28">
        <v>2</v>
      </c>
      <c r="G189" s="31">
        <v>136800000</v>
      </c>
      <c r="H189" s="32">
        <v>720000</v>
      </c>
      <c r="I189" s="32" t="s">
        <v>37</v>
      </c>
      <c r="J189" s="32" t="s">
        <v>25</v>
      </c>
    </row>
    <row r="190" spans="1:10" x14ac:dyDescent="0.25">
      <c r="A190" s="26">
        <v>45968</v>
      </c>
      <c r="B190" s="27" t="s">
        <v>28</v>
      </c>
      <c r="C190" s="28" t="s">
        <v>23</v>
      </c>
      <c r="D190" s="29">
        <v>45992</v>
      </c>
      <c r="E190" s="30">
        <v>280</v>
      </c>
      <c r="F190" s="28">
        <v>3</v>
      </c>
      <c r="G190" s="31">
        <v>302400000</v>
      </c>
      <c r="H190" s="32">
        <v>1080000</v>
      </c>
      <c r="I190" s="32" t="s">
        <v>37</v>
      </c>
      <c r="J190" s="32" t="s">
        <v>10</v>
      </c>
    </row>
    <row r="191" spans="1:10" x14ac:dyDescent="0.25">
      <c r="A191" s="26">
        <v>45972</v>
      </c>
      <c r="B191" s="27" t="s">
        <v>28</v>
      </c>
      <c r="C191" s="28" t="s">
        <v>22</v>
      </c>
      <c r="D191" s="29">
        <v>45962</v>
      </c>
      <c r="E191" s="30">
        <v>218</v>
      </c>
      <c r="F191" s="28">
        <v>4</v>
      </c>
      <c r="G191" s="31">
        <v>313920000</v>
      </c>
      <c r="H191" s="32">
        <v>1440000</v>
      </c>
      <c r="I191" s="32" t="s">
        <v>37</v>
      </c>
      <c r="J191" s="32" t="s">
        <v>10</v>
      </c>
    </row>
    <row r="192" spans="1:10" x14ac:dyDescent="0.25">
      <c r="A192" s="26">
        <v>45972</v>
      </c>
      <c r="B192" s="27" t="s">
        <v>28</v>
      </c>
      <c r="C192" s="28" t="s">
        <v>22</v>
      </c>
      <c r="D192" s="29">
        <v>45962</v>
      </c>
      <c r="E192" s="30">
        <v>218</v>
      </c>
      <c r="F192" s="28">
        <v>3</v>
      </c>
      <c r="G192" s="31">
        <v>235440000</v>
      </c>
      <c r="H192" s="32">
        <v>1080000</v>
      </c>
      <c r="I192" s="32" t="s">
        <v>37</v>
      </c>
      <c r="J192" s="32" t="s">
        <v>10</v>
      </c>
    </row>
    <row r="193" spans="1:10" x14ac:dyDescent="0.25">
      <c r="A193" s="15">
        <v>45985</v>
      </c>
      <c r="B193" s="16" t="s">
        <v>28</v>
      </c>
      <c r="C193" s="17" t="s">
        <v>22</v>
      </c>
      <c r="D193" s="18">
        <v>45962</v>
      </c>
      <c r="E193" s="19">
        <v>245</v>
      </c>
      <c r="F193" s="17">
        <v>3</v>
      </c>
      <c r="G193" s="20">
        <v>264600000</v>
      </c>
      <c r="H193" s="21">
        <v>1080000</v>
      </c>
      <c r="I193" s="32" t="s">
        <v>37</v>
      </c>
      <c r="J193" s="21" t="s">
        <v>10</v>
      </c>
    </row>
    <row r="194" spans="1:10" x14ac:dyDescent="0.25">
      <c r="A194" s="26">
        <v>45985</v>
      </c>
      <c r="B194" s="27" t="s">
        <v>28</v>
      </c>
      <c r="C194" s="28" t="s">
        <v>22</v>
      </c>
      <c r="D194" s="29">
        <v>45962</v>
      </c>
      <c r="E194" s="30">
        <v>247.5</v>
      </c>
      <c r="F194" s="28">
        <v>1</v>
      </c>
      <c r="G194" s="31">
        <v>89100000</v>
      </c>
      <c r="H194" s="32">
        <v>360000</v>
      </c>
      <c r="I194" s="32" t="s">
        <v>37</v>
      </c>
      <c r="J194" s="32" t="s">
        <v>10</v>
      </c>
    </row>
    <row r="195" spans="1:10" x14ac:dyDescent="0.25">
      <c r="A195" s="15">
        <v>45988</v>
      </c>
      <c r="B195" s="16" t="s">
        <v>28</v>
      </c>
      <c r="C195" s="17" t="s">
        <v>45</v>
      </c>
      <c r="D195" s="18">
        <v>46174</v>
      </c>
      <c r="E195" s="19">
        <v>399</v>
      </c>
      <c r="F195" s="17">
        <v>12</v>
      </c>
      <c r="G195" s="20">
        <v>1723680000</v>
      </c>
      <c r="H195" s="21">
        <v>4320000</v>
      </c>
      <c r="I195" s="32" t="s">
        <v>37</v>
      </c>
      <c r="J195" s="21" t="s">
        <v>11</v>
      </c>
    </row>
    <row r="196" spans="1:10" x14ac:dyDescent="0.25">
      <c r="A196" s="26">
        <v>45988</v>
      </c>
      <c r="B196" s="27" t="s">
        <v>28</v>
      </c>
      <c r="C196" s="28" t="s">
        <v>46</v>
      </c>
      <c r="D196" s="29">
        <v>46204</v>
      </c>
      <c r="E196" s="30">
        <v>399</v>
      </c>
      <c r="F196" s="28">
        <v>12</v>
      </c>
      <c r="G196" s="31">
        <v>1723680000</v>
      </c>
      <c r="H196" s="32">
        <v>4320000</v>
      </c>
      <c r="I196" s="32" t="s">
        <v>37</v>
      </c>
      <c r="J196" s="32" t="s">
        <v>11</v>
      </c>
    </row>
    <row r="197" spans="1:10" x14ac:dyDescent="0.25">
      <c r="A197" s="26">
        <v>45988</v>
      </c>
      <c r="B197" s="27" t="s">
        <v>28</v>
      </c>
      <c r="C197" s="28" t="s">
        <v>40</v>
      </c>
      <c r="D197" s="29">
        <v>46023</v>
      </c>
      <c r="E197" s="30">
        <v>420</v>
      </c>
      <c r="F197" s="28">
        <v>1</v>
      </c>
      <c r="G197" s="31">
        <v>151200000</v>
      </c>
      <c r="H197" s="32">
        <v>360000</v>
      </c>
      <c r="I197" s="32" t="s">
        <v>37</v>
      </c>
      <c r="J197" s="32" t="s">
        <v>25</v>
      </c>
    </row>
    <row r="198" spans="1:10" x14ac:dyDescent="0.25">
      <c r="A198" s="26">
        <v>45995</v>
      </c>
      <c r="B198" s="27" t="s">
        <v>28</v>
      </c>
      <c r="C198" s="28" t="s">
        <v>23</v>
      </c>
      <c r="D198" s="29">
        <v>45992</v>
      </c>
      <c r="E198" s="30">
        <v>270</v>
      </c>
      <c r="F198" s="28">
        <v>5</v>
      </c>
      <c r="G198" s="31">
        <v>486000000</v>
      </c>
      <c r="H198" s="32">
        <v>1800000</v>
      </c>
      <c r="I198" s="32" t="s">
        <v>37</v>
      </c>
      <c r="J198" s="32" t="s">
        <v>10</v>
      </c>
    </row>
    <row r="199" spans="1:10" x14ac:dyDescent="0.25">
      <c r="A199" s="15">
        <v>45995</v>
      </c>
      <c r="B199" s="16" t="s">
        <v>28</v>
      </c>
      <c r="C199" s="17" t="s">
        <v>23</v>
      </c>
      <c r="D199" s="18">
        <v>45992</v>
      </c>
      <c r="E199" s="19">
        <v>265</v>
      </c>
      <c r="F199" s="17">
        <v>30</v>
      </c>
      <c r="G199" s="20">
        <v>2862000000</v>
      </c>
      <c r="H199" s="21">
        <v>10800000</v>
      </c>
      <c r="I199" s="32" t="s">
        <v>37</v>
      </c>
      <c r="J199" s="21" t="s">
        <v>10</v>
      </c>
    </row>
    <row r="200" spans="1:10" x14ac:dyDescent="0.25">
      <c r="A200" s="26">
        <v>45995</v>
      </c>
      <c r="B200" s="27" t="s">
        <v>28</v>
      </c>
      <c r="C200" s="28" t="s">
        <v>23</v>
      </c>
      <c r="D200" s="29">
        <v>45992</v>
      </c>
      <c r="E200" s="30">
        <v>260</v>
      </c>
      <c r="F200" s="28">
        <v>20</v>
      </c>
      <c r="G200" s="31">
        <v>1872000000</v>
      </c>
      <c r="H200" s="32">
        <v>7200000</v>
      </c>
      <c r="I200" s="32" t="s">
        <v>37</v>
      </c>
      <c r="J200" s="32" t="s">
        <v>10</v>
      </c>
    </row>
    <row r="201" spans="1:10" x14ac:dyDescent="0.25">
      <c r="A201" s="26">
        <v>45996</v>
      </c>
      <c r="B201" s="27" t="s">
        <v>28</v>
      </c>
      <c r="C201" s="28" t="s">
        <v>23</v>
      </c>
      <c r="D201" s="29">
        <v>45992</v>
      </c>
      <c r="E201" s="30">
        <v>260</v>
      </c>
      <c r="F201" s="28">
        <v>3</v>
      </c>
      <c r="G201" s="31">
        <v>280800000</v>
      </c>
      <c r="H201" s="32">
        <v>1080000</v>
      </c>
      <c r="I201" s="32" t="s">
        <v>37</v>
      </c>
      <c r="J201" s="32" t="s">
        <v>10</v>
      </c>
    </row>
    <row r="202" spans="1:10" x14ac:dyDescent="0.25">
      <c r="A202" s="26">
        <v>46000</v>
      </c>
      <c r="B202" s="27" t="s">
        <v>28</v>
      </c>
      <c r="C202" s="28" t="s">
        <v>45</v>
      </c>
      <c r="D202" s="29">
        <v>46174</v>
      </c>
      <c r="E202" s="30">
        <v>280.64999999999998</v>
      </c>
      <c r="F202" s="28">
        <v>10</v>
      </c>
      <c r="G202" s="31">
        <v>1010339999.9999999</v>
      </c>
      <c r="H202" s="32">
        <v>3600000</v>
      </c>
      <c r="I202" s="32" t="s">
        <v>37</v>
      </c>
      <c r="J202" s="32" t="s">
        <v>10</v>
      </c>
    </row>
    <row r="203" spans="1:10" x14ac:dyDescent="0.25">
      <c r="A203" s="15">
        <v>46001</v>
      </c>
      <c r="B203" s="16" t="s">
        <v>28</v>
      </c>
      <c r="C203" s="17" t="s">
        <v>23</v>
      </c>
      <c r="D203" s="18">
        <v>45992</v>
      </c>
      <c r="E203" s="19">
        <v>210</v>
      </c>
      <c r="F203" s="17">
        <v>35</v>
      </c>
      <c r="G203" s="20">
        <v>2646000000</v>
      </c>
      <c r="H203" s="21">
        <v>12600000</v>
      </c>
      <c r="I203" s="32" t="s">
        <v>37</v>
      </c>
      <c r="J203" s="21" t="s">
        <v>10</v>
      </c>
    </row>
    <row r="204" spans="1:10" x14ac:dyDescent="0.25">
      <c r="A204" s="15">
        <v>46001</v>
      </c>
      <c r="B204" s="16" t="s">
        <v>28</v>
      </c>
      <c r="C204" s="17" t="s">
        <v>40</v>
      </c>
      <c r="D204" s="18">
        <v>46023</v>
      </c>
      <c r="E204" s="19">
        <v>250</v>
      </c>
      <c r="F204" s="17">
        <v>13</v>
      </c>
      <c r="G204" s="20">
        <v>1170000000</v>
      </c>
      <c r="H204" s="21">
        <v>4680000</v>
      </c>
      <c r="I204" s="32" t="s">
        <v>37</v>
      </c>
      <c r="J204" s="21" t="s">
        <v>10</v>
      </c>
    </row>
    <row r="205" spans="1:10" x14ac:dyDescent="0.25">
      <c r="A205" s="15">
        <v>46001</v>
      </c>
      <c r="B205" s="16" t="s">
        <v>28</v>
      </c>
      <c r="C205" s="17" t="s">
        <v>41</v>
      </c>
      <c r="D205" s="18">
        <v>46054</v>
      </c>
      <c r="E205" s="19">
        <v>250</v>
      </c>
      <c r="F205" s="17">
        <v>12</v>
      </c>
      <c r="G205" s="20">
        <v>1080000000</v>
      </c>
      <c r="H205" s="21">
        <v>4320000</v>
      </c>
      <c r="I205" s="32" t="s">
        <v>37</v>
      </c>
      <c r="J205" s="21" t="s">
        <v>10</v>
      </c>
    </row>
    <row r="206" spans="1:10" x14ac:dyDescent="0.25">
      <c r="A206" s="26">
        <v>46001</v>
      </c>
      <c r="B206" s="27" t="s">
        <v>28</v>
      </c>
      <c r="C206" s="28" t="s">
        <v>42</v>
      </c>
      <c r="D206" s="29">
        <v>46082</v>
      </c>
      <c r="E206" s="30">
        <v>250</v>
      </c>
      <c r="F206" s="28">
        <v>12</v>
      </c>
      <c r="G206" s="31">
        <v>1080000000</v>
      </c>
      <c r="H206" s="32">
        <v>4320000</v>
      </c>
      <c r="I206" s="32" t="s">
        <v>37</v>
      </c>
      <c r="J206" s="32" t="s">
        <v>10</v>
      </c>
    </row>
    <row r="207" spans="1:10" x14ac:dyDescent="0.25">
      <c r="A207" s="26">
        <v>46001</v>
      </c>
      <c r="B207" s="27" t="s">
        <v>28</v>
      </c>
      <c r="C207" s="28" t="s">
        <v>23</v>
      </c>
      <c r="D207" s="29">
        <v>45992</v>
      </c>
      <c r="E207" s="30">
        <v>215</v>
      </c>
      <c r="F207" s="28">
        <v>3</v>
      </c>
      <c r="G207" s="31">
        <v>232200000</v>
      </c>
      <c r="H207" s="32">
        <v>1080000</v>
      </c>
      <c r="I207" s="32" t="s">
        <v>37</v>
      </c>
      <c r="J207" s="32" t="s">
        <v>10</v>
      </c>
    </row>
    <row r="208" spans="1:10" x14ac:dyDescent="0.25">
      <c r="A208" s="15">
        <v>46002</v>
      </c>
      <c r="B208" s="16" t="s">
        <v>28</v>
      </c>
      <c r="C208" s="17" t="s">
        <v>23</v>
      </c>
      <c r="D208" s="18">
        <v>45992</v>
      </c>
      <c r="E208" s="19">
        <v>205</v>
      </c>
      <c r="F208" s="17">
        <v>30</v>
      </c>
      <c r="G208" s="20">
        <v>2214000000</v>
      </c>
      <c r="H208" s="21">
        <v>10800000</v>
      </c>
      <c r="I208" s="32" t="s">
        <v>37</v>
      </c>
      <c r="J208" s="21" t="s">
        <v>10</v>
      </c>
    </row>
    <row r="209" spans="1:10" x14ac:dyDescent="0.25">
      <c r="A209" s="26">
        <v>46002</v>
      </c>
      <c r="B209" s="27" t="s">
        <v>28</v>
      </c>
      <c r="C209" s="28" t="s">
        <v>23</v>
      </c>
      <c r="D209" s="29">
        <v>45992</v>
      </c>
      <c r="E209" s="30">
        <v>205</v>
      </c>
      <c r="F209" s="28">
        <v>3</v>
      </c>
      <c r="G209" s="31">
        <v>221400000</v>
      </c>
      <c r="H209" s="32">
        <v>1080000</v>
      </c>
      <c r="I209" s="32" t="s">
        <v>37</v>
      </c>
      <c r="J209" s="32" t="s">
        <v>10</v>
      </c>
    </row>
    <row r="210" spans="1:10" x14ac:dyDescent="0.25">
      <c r="A210" s="26">
        <v>46003</v>
      </c>
      <c r="B210" s="27" t="s">
        <v>28</v>
      </c>
      <c r="C210" s="28" t="s">
        <v>23</v>
      </c>
      <c r="D210" s="29">
        <v>45992</v>
      </c>
      <c r="E210" s="30">
        <v>204.9</v>
      </c>
      <c r="F210" s="28">
        <v>3</v>
      </c>
      <c r="G210" s="31">
        <v>221292000</v>
      </c>
      <c r="H210" s="32">
        <v>1080000</v>
      </c>
      <c r="I210" s="32" t="s">
        <v>37</v>
      </c>
      <c r="J210" s="32" t="s">
        <v>10</v>
      </c>
    </row>
    <row r="211" spans="1:10" x14ac:dyDescent="0.25">
      <c r="A211" s="15">
        <v>46003</v>
      </c>
      <c r="B211" s="16" t="s">
        <v>28</v>
      </c>
      <c r="C211" s="17" t="s">
        <v>23</v>
      </c>
      <c r="D211" s="18">
        <v>45992</v>
      </c>
      <c r="E211" s="19">
        <v>200</v>
      </c>
      <c r="F211" s="17">
        <v>20</v>
      </c>
      <c r="G211" s="20">
        <v>1440000000</v>
      </c>
      <c r="H211" s="21">
        <v>7200000</v>
      </c>
      <c r="I211" s="32" t="s">
        <v>37</v>
      </c>
      <c r="J211" s="21" t="s">
        <v>10</v>
      </c>
    </row>
    <row r="212" spans="1:10" x14ac:dyDescent="0.25">
      <c r="A212" s="26">
        <v>46003</v>
      </c>
      <c r="B212" s="27" t="s">
        <v>28</v>
      </c>
      <c r="C212" s="28" t="s">
        <v>23</v>
      </c>
      <c r="D212" s="29">
        <v>45992</v>
      </c>
      <c r="E212" s="30">
        <v>200</v>
      </c>
      <c r="F212" s="28">
        <v>30</v>
      </c>
      <c r="G212" s="31">
        <v>2160000000</v>
      </c>
      <c r="H212" s="32">
        <v>10800000</v>
      </c>
      <c r="I212" s="32" t="s">
        <v>37</v>
      </c>
      <c r="J212" s="32" t="s">
        <v>10</v>
      </c>
    </row>
    <row r="213" spans="1:10" x14ac:dyDescent="0.25">
      <c r="A213" s="15">
        <v>46003</v>
      </c>
      <c r="B213" s="16" t="s">
        <v>28</v>
      </c>
      <c r="C213" s="17" t="s">
        <v>23</v>
      </c>
      <c r="D213" s="18">
        <v>45992</v>
      </c>
      <c r="E213" s="19">
        <v>204.9</v>
      </c>
      <c r="F213" s="17">
        <v>5</v>
      </c>
      <c r="G213" s="20">
        <v>368820000</v>
      </c>
      <c r="H213" s="21">
        <v>1800000</v>
      </c>
      <c r="I213" s="32" t="s">
        <v>37</v>
      </c>
      <c r="J213" s="21" t="s">
        <v>10</v>
      </c>
    </row>
    <row r="214" spans="1:10" x14ac:dyDescent="0.25">
      <c r="A214" s="26">
        <v>46003</v>
      </c>
      <c r="B214" s="27" t="s">
        <v>28</v>
      </c>
      <c r="C214" s="28" t="s">
        <v>23</v>
      </c>
      <c r="D214" s="29">
        <v>45992</v>
      </c>
      <c r="E214" s="30">
        <v>205</v>
      </c>
      <c r="F214" s="28">
        <v>17</v>
      </c>
      <c r="G214" s="31">
        <v>1254600000</v>
      </c>
      <c r="H214" s="32">
        <v>6120000</v>
      </c>
      <c r="I214" s="32" t="s">
        <v>37</v>
      </c>
      <c r="J214" s="32" t="s">
        <v>10</v>
      </c>
    </row>
    <row r="215" spans="1:10" x14ac:dyDescent="0.25">
      <c r="A215" s="26">
        <v>46003</v>
      </c>
      <c r="B215" s="27" t="s">
        <v>28</v>
      </c>
      <c r="C215" s="28" t="s">
        <v>23</v>
      </c>
      <c r="D215" s="29">
        <v>45992</v>
      </c>
      <c r="E215" s="30">
        <v>205</v>
      </c>
      <c r="F215" s="28">
        <v>4</v>
      </c>
      <c r="G215" s="31">
        <v>295200000</v>
      </c>
      <c r="H215" s="32">
        <v>1440000</v>
      </c>
      <c r="I215" s="32" t="s">
        <v>37</v>
      </c>
      <c r="J215" s="32" t="s">
        <v>11</v>
      </c>
    </row>
    <row r="216" spans="1:10" x14ac:dyDescent="0.25">
      <c r="A216" s="26">
        <v>46006</v>
      </c>
      <c r="B216" s="27" t="s">
        <v>28</v>
      </c>
      <c r="C216" s="28" t="s">
        <v>23</v>
      </c>
      <c r="D216" s="29">
        <v>45992</v>
      </c>
      <c r="E216" s="30">
        <v>205</v>
      </c>
      <c r="F216" s="28">
        <v>1</v>
      </c>
      <c r="G216" s="31">
        <v>73800000</v>
      </c>
      <c r="H216" s="32">
        <v>360000</v>
      </c>
      <c r="I216" s="32" t="s">
        <v>37</v>
      </c>
      <c r="J216" s="32" t="s">
        <v>10</v>
      </c>
    </row>
    <row r="217" spans="1:10" x14ac:dyDescent="0.25">
      <c r="A217" s="26">
        <v>46006</v>
      </c>
      <c r="B217" s="27" t="s">
        <v>28</v>
      </c>
      <c r="C217" s="28" t="s">
        <v>23</v>
      </c>
      <c r="D217" s="29">
        <v>45992</v>
      </c>
      <c r="E217" s="30">
        <v>205</v>
      </c>
      <c r="F217" s="28">
        <v>15</v>
      </c>
      <c r="G217" s="31">
        <v>1107000000</v>
      </c>
      <c r="H217" s="32">
        <v>5400000</v>
      </c>
      <c r="I217" s="32" t="s">
        <v>37</v>
      </c>
      <c r="J217" s="32" t="s">
        <v>10</v>
      </c>
    </row>
    <row r="218" spans="1:10" x14ac:dyDescent="0.25">
      <c r="A218" s="26">
        <v>46006</v>
      </c>
      <c r="B218" s="27" t="s">
        <v>28</v>
      </c>
      <c r="C218" s="28" t="s">
        <v>23</v>
      </c>
      <c r="D218" s="29">
        <v>45992</v>
      </c>
      <c r="E218" s="30">
        <v>205</v>
      </c>
      <c r="F218" s="28">
        <v>1</v>
      </c>
      <c r="G218" s="31">
        <v>73800000</v>
      </c>
      <c r="H218" s="32">
        <v>360000</v>
      </c>
      <c r="I218" s="32" t="s">
        <v>37</v>
      </c>
      <c r="J218" s="32" t="s">
        <v>10</v>
      </c>
    </row>
    <row r="219" spans="1:10" x14ac:dyDescent="0.25">
      <c r="A219" s="15">
        <v>46009</v>
      </c>
      <c r="B219" s="16" t="s">
        <v>28</v>
      </c>
      <c r="C219" s="17" t="s">
        <v>41</v>
      </c>
      <c r="D219" s="18">
        <v>46054</v>
      </c>
      <c r="E219" s="19">
        <v>362</v>
      </c>
      <c r="F219" s="17">
        <v>10</v>
      </c>
      <c r="G219" s="20">
        <v>1303200000</v>
      </c>
      <c r="H219" s="21">
        <v>3600000</v>
      </c>
      <c r="I219" s="32" t="s">
        <v>37</v>
      </c>
      <c r="J219" s="21" t="s">
        <v>10</v>
      </c>
    </row>
    <row r="220" spans="1:10" x14ac:dyDescent="0.25">
      <c r="A220" s="15">
        <v>46009</v>
      </c>
      <c r="B220" s="16" t="s">
        <v>28</v>
      </c>
      <c r="C220" s="17" t="s">
        <v>42</v>
      </c>
      <c r="D220" s="18">
        <v>46082</v>
      </c>
      <c r="E220" s="19">
        <v>359</v>
      </c>
      <c r="F220" s="17">
        <v>10</v>
      </c>
      <c r="G220" s="20">
        <v>1292400000</v>
      </c>
      <c r="H220" s="21">
        <v>3600000</v>
      </c>
      <c r="I220" s="32" t="s">
        <v>37</v>
      </c>
      <c r="J220" s="21" t="s">
        <v>10</v>
      </c>
    </row>
    <row r="221" spans="1:10" x14ac:dyDescent="0.25">
      <c r="A221" s="15">
        <v>46009</v>
      </c>
      <c r="B221" s="16" t="s">
        <v>28</v>
      </c>
      <c r="C221" s="17" t="s">
        <v>43</v>
      </c>
      <c r="D221" s="18">
        <v>46113</v>
      </c>
      <c r="E221" s="19">
        <v>373</v>
      </c>
      <c r="F221" s="17">
        <v>10</v>
      </c>
      <c r="G221" s="20">
        <v>1342800000</v>
      </c>
      <c r="H221" s="21">
        <v>3600000</v>
      </c>
      <c r="I221" s="32" t="s">
        <v>37</v>
      </c>
      <c r="J221" s="21" t="s">
        <v>10</v>
      </c>
    </row>
    <row r="222" spans="1:10" x14ac:dyDescent="0.25">
      <c r="A222" s="26">
        <v>46009</v>
      </c>
      <c r="B222" s="27" t="s">
        <v>28</v>
      </c>
      <c r="C222" s="28" t="s">
        <v>45</v>
      </c>
      <c r="D222" s="29">
        <v>46174</v>
      </c>
      <c r="E222" s="30">
        <v>251</v>
      </c>
      <c r="F222" s="28">
        <v>10</v>
      </c>
      <c r="G222" s="31">
        <v>903600000</v>
      </c>
      <c r="H222" s="32">
        <v>3600000</v>
      </c>
      <c r="I222" s="32" t="s">
        <v>37</v>
      </c>
      <c r="J222" s="32" t="s">
        <v>10</v>
      </c>
    </row>
    <row r="223" spans="1:10" x14ac:dyDescent="0.25">
      <c r="A223" s="26">
        <v>46010</v>
      </c>
      <c r="B223" s="27" t="s">
        <v>28</v>
      </c>
      <c r="C223" s="28" t="s">
        <v>23</v>
      </c>
      <c r="D223" s="29">
        <v>45992</v>
      </c>
      <c r="E223" s="30">
        <v>230</v>
      </c>
      <c r="F223" s="28">
        <v>6</v>
      </c>
      <c r="G223" s="31">
        <v>496800000</v>
      </c>
      <c r="H223" s="32">
        <v>2160000</v>
      </c>
      <c r="I223" s="32" t="s">
        <v>37</v>
      </c>
      <c r="J223" s="32" t="s">
        <v>11</v>
      </c>
    </row>
    <row r="224" spans="1:10" x14ac:dyDescent="0.25">
      <c r="A224" s="26">
        <v>46014</v>
      </c>
      <c r="B224" s="27" t="s">
        <v>28</v>
      </c>
      <c r="C224" s="28" t="s">
        <v>40</v>
      </c>
      <c r="D224" s="18">
        <v>46023</v>
      </c>
      <c r="E224" s="30">
        <v>393</v>
      </c>
      <c r="F224" s="28">
        <v>10</v>
      </c>
      <c r="G224" s="31">
        <v>1414800000</v>
      </c>
      <c r="H224" s="32">
        <v>3600000</v>
      </c>
      <c r="I224" s="32" t="s">
        <v>37</v>
      </c>
      <c r="J224" s="32" t="s">
        <v>10</v>
      </c>
    </row>
    <row r="225" spans="1:10" x14ac:dyDescent="0.25">
      <c r="A225" s="15">
        <v>46020</v>
      </c>
      <c r="B225" s="16" t="s">
        <v>28</v>
      </c>
      <c r="C225" s="17" t="s">
        <v>41</v>
      </c>
      <c r="D225" s="18">
        <v>46054</v>
      </c>
      <c r="E225" s="19">
        <v>399</v>
      </c>
      <c r="F225" s="17">
        <v>10</v>
      </c>
      <c r="G225" s="20">
        <v>1436400000</v>
      </c>
      <c r="H225" s="21">
        <v>3600000</v>
      </c>
      <c r="I225" s="32" t="s">
        <v>37</v>
      </c>
      <c r="J225" s="21" t="s">
        <v>10</v>
      </c>
    </row>
    <row r="226" spans="1:10" x14ac:dyDescent="0.25">
      <c r="A226" s="26">
        <v>46020</v>
      </c>
      <c r="B226" s="27" t="s">
        <v>28</v>
      </c>
      <c r="C226" s="28" t="s">
        <v>42</v>
      </c>
      <c r="D226" s="29">
        <v>46082</v>
      </c>
      <c r="E226" s="30">
        <v>402</v>
      </c>
      <c r="F226" s="28">
        <v>10</v>
      </c>
      <c r="G226" s="31">
        <v>1447200000</v>
      </c>
      <c r="H226" s="32">
        <v>3600000</v>
      </c>
      <c r="I226" s="32" t="s">
        <v>37</v>
      </c>
      <c r="J226" s="32" t="s">
        <v>10</v>
      </c>
    </row>
    <row r="227" spans="1:10" x14ac:dyDescent="0.25">
      <c r="A227" s="15">
        <v>46031</v>
      </c>
      <c r="B227" s="16" t="s">
        <v>28</v>
      </c>
      <c r="C227" s="17" t="s">
        <v>49</v>
      </c>
      <c r="D227" s="18">
        <v>46296</v>
      </c>
      <c r="E227" s="19">
        <v>390</v>
      </c>
      <c r="F227" s="17">
        <v>15</v>
      </c>
      <c r="G227" s="20">
        <v>2106000000</v>
      </c>
      <c r="H227" s="21">
        <v>5400000</v>
      </c>
      <c r="I227" s="32" t="s">
        <v>37</v>
      </c>
      <c r="J227" s="21" t="s">
        <v>10</v>
      </c>
    </row>
    <row r="228" spans="1:10" x14ac:dyDescent="0.25">
      <c r="A228" s="26">
        <v>46031</v>
      </c>
      <c r="B228" s="27" t="s">
        <v>28</v>
      </c>
      <c r="C228" s="28" t="s">
        <v>48</v>
      </c>
      <c r="D228" s="29">
        <v>46266</v>
      </c>
      <c r="E228" s="30">
        <v>390</v>
      </c>
      <c r="F228" s="28">
        <v>15</v>
      </c>
      <c r="G228" s="31">
        <v>2106000000</v>
      </c>
      <c r="H228" s="32">
        <v>5400000</v>
      </c>
      <c r="I228" s="32" t="s">
        <v>37</v>
      </c>
      <c r="J228" s="32" t="s">
        <v>10</v>
      </c>
    </row>
    <row r="229" spans="1:10" x14ac:dyDescent="0.25">
      <c r="A229" s="26">
        <v>46036</v>
      </c>
      <c r="B229" s="27" t="s">
        <v>28</v>
      </c>
      <c r="C229" s="28" t="s">
        <v>40</v>
      </c>
      <c r="D229" s="29">
        <v>46023</v>
      </c>
      <c r="E229" s="30">
        <v>280</v>
      </c>
      <c r="F229" s="28">
        <v>1</v>
      </c>
      <c r="G229" s="31">
        <v>100800000</v>
      </c>
      <c r="H229" s="32">
        <v>360000</v>
      </c>
      <c r="I229" s="32" t="s">
        <v>37</v>
      </c>
      <c r="J229" s="32" t="s">
        <v>10</v>
      </c>
    </row>
    <row r="230" spans="1:10" x14ac:dyDescent="0.25">
      <c r="A230" s="26">
        <v>46036</v>
      </c>
      <c r="B230" s="27" t="s">
        <v>28</v>
      </c>
      <c r="C230" s="28" t="s">
        <v>40</v>
      </c>
      <c r="D230" s="29">
        <v>46023</v>
      </c>
      <c r="E230" s="30">
        <v>280</v>
      </c>
      <c r="F230" s="28">
        <v>4</v>
      </c>
      <c r="G230" s="31">
        <v>403200000</v>
      </c>
      <c r="H230" s="32">
        <v>1440000</v>
      </c>
      <c r="I230" s="32" t="s">
        <v>37</v>
      </c>
      <c r="J230" s="32" t="s">
        <v>10</v>
      </c>
    </row>
    <row r="231" spans="1:10" x14ac:dyDescent="0.25">
      <c r="A231" s="15">
        <v>46037</v>
      </c>
      <c r="B231" s="16" t="s">
        <v>28</v>
      </c>
      <c r="C231" s="17" t="s">
        <v>31</v>
      </c>
      <c r="D231" s="18">
        <v>46905</v>
      </c>
      <c r="E231" s="19">
        <v>375</v>
      </c>
      <c r="F231" s="17">
        <v>20</v>
      </c>
      <c r="G231" s="20">
        <v>2700000000</v>
      </c>
      <c r="H231" s="21">
        <v>7200000</v>
      </c>
      <c r="I231" s="32" t="s">
        <v>37</v>
      </c>
      <c r="J231" s="21" t="s">
        <v>10</v>
      </c>
    </row>
    <row r="232" spans="1:10" x14ac:dyDescent="0.25">
      <c r="A232" s="15">
        <v>46037</v>
      </c>
      <c r="B232" s="16" t="s">
        <v>28</v>
      </c>
      <c r="C232" s="17" t="s">
        <v>32</v>
      </c>
      <c r="D232" s="18">
        <v>46935</v>
      </c>
      <c r="E232" s="19">
        <v>375</v>
      </c>
      <c r="F232" s="17">
        <v>20</v>
      </c>
      <c r="G232" s="20">
        <v>2700000000</v>
      </c>
      <c r="H232" s="21">
        <v>7200000</v>
      </c>
      <c r="I232" s="32" t="s">
        <v>37</v>
      </c>
      <c r="J232" s="21" t="s">
        <v>10</v>
      </c>
    </row>
    <row r="233" spans="1:10" x14ac:dyDescent="0.25">
      <c r="A233" s="26">
        <v>46037</v>
      </c>
      <c r="B233" s="27" t="s">
        <v>28</v>
      </c>
      <c r="C233" s="28" t="s">
        <v>33</v>
      </c>
      <c r="D233" s="29">
        <v>46966</v>
      </c>
      <c r="E233" s="30">
        <v>375</v>
      </c>
      <c r="F233" s="28">
        <v>20</v>
      </c>
      <c r="G233" s="31">
        <v>2700000000</v>
      </c>
      <c r="H233" s="32">
        <v>7200000</v>
      </c>
      <c r="I233" s="32" t="s">
        <v>37</v>
      </c>
      <c r="J233" s="32" t="s">
        <v>10</v>
      </c>
    </row>
    <row r="234" spans="1:10" x14ac:dyDescent="0.25">
      <c r="A234" s="15">
        <v>46038</v>
      </c>
      <c r="B234" s="16" t="s">
        <v>28</v>
      </c>
      <c r="C234" s="17" t="s">
        <v>41</v>
      </c>
      <c r="D234" s="18">
        <v>46054</v>
      </c>
      <c r="E234" s="19">
        <v>300</v>
      </c>
      <c r="F234" s="17">
        <v>11</v>
      </c>
      <c r="G234" s="20">
        <v>1188000000</v>
      </c>
      <c r="H234" s="21">
        <v>3960000</v>
      </c>
      <c r="I234" s="32" t="s">
        <v>37</v>
      </c>
      <c r="J234" s="21" t="s">
        <v>10</v>
      </c>
    </row>
    <row r="235" spans="1:10" x14ac:dyDescent="0.25">
      <c r="A235" s="15">
        <v>46038</v>
      </c>
      <c r="B235" s="16" t="s">
        <v>28</v>
      </c>
      <c r="C235" s="17" t="s">
        <v>40</v>
      </c>
      <c r="D235" s="18">
        <v>46023</v>
      </c>
      <c r="E235" s="19">
        <v>249.99</v>
      </c>
      <c r="F235" s="17">
        <v>25</v>
      </c>
      <c r="G235" s="20">
        <v>2249910000</v>
      </c>
      <c r="H235" s="21">
        <v>9000000</v>
      </c>
      <c r="I235" s="32" t="s">
        <v>37</v>
      </c>
      <c r="J235" s="21" t="s">
        <v>10</v>
      </c>
    </row>
    <row r="236" spans="1:10" x14ac:dyDescent="0.25">
      <c r="A236" s="15">
        <v>46038</v>
      </c>
      <c r="B236" s="16" t="s">
        <v>28</v>
      </c>
      <c r="C236" s="17" t="s">
        <v>40</v>
      </c>
      <c r="D236" s="18">
        <v>46023</v>
      </c>
      <c r="E236" s="19">
        <v>260</v>
      </c>
      <c r="F236" s="17">
        <v>2</v>
      </c>
      <c r="G236" s="20">
        <v>187200000</v>
      </c>
      <c r="H236" s="21">
        <v>720000</v>
      </c>
      <c r="I236" s="32" t="s">
        <v>37</v>
      </c>
      <c r="J236" s="21" t="s">
        <v>10</v>
      </c>
    </row>
    <row r="237" spans="1:10" x14ac:dyDescent="0.25">
      <c r="A237" s="26">
        <v>46038</v>
      </c>
      <c r="B237" s="27" t="s">
        <v>28</v>
      </c>
      <c r="C237" s="28" t="s">
        <v>40</v>
      </c>
      <c r="D237" s="29">
        <v>46023</v>
      </c>
      <c r="E237" s="30">
        <v>260</v>
      </c>
      <c r="F237" s="28">
        <v>3</v>
      </c>
      <c r="G237" s="31">
        <v>280800000</v>
      </c>
      <c r="H237" s="32">
        <v>1080000</v>
      </c>
      <c r="I237" s="32" t="s">
        <v>37</v>
      </c>
      <c r="J237" s="32" t="s">
        <v>10</v>
      </c>
    </row>
    <row r="238" spans="1:10" x14ac:dyDescent="0.25">
      <c r="A238" s="26">
        <v>46041</v>
      </c>
      <c r="B238" s="27" t="s">
        <v>28</v>
      </c>
      <c r="C238" s="28" t="s">
        <v>40</v>
      </c>
      <c r="D238" s="29">
        <v>46023</v>
      </c>
      <c r="E238" s="30">
        <v>249</v>
      </c>
      <c r="F238" s="28">
        <v>1</v>
      </c>
      <c r="G238" s="31">
        <v>89640000</v>
      </c>
      <c r="H238" s="32">
        <v>360000</v>
      </c>
      <c r="I238" s="32" t="s">
        <v>37</v>
      </c>
      <c r="J238" s="32" t="s">
        <v>10</v>
      </c>
    </row>
    <row r="239" spans="1:10" x14ac:dyDescent="0.25">
      <c r="A239" s="26">
        <v>46041</v>
      </c>
      <c r="B239" s="27" t="s">
        <v>28</v>
      </c>
      <c r="C239" s="28" t="s">
        <v>41</v>
      </c>
      <c r="D239" s="29">
        <v>46054</v>
      </c>
      <c r="E239" s="30">
        <v>285</v>
      </c>
      <c r="F239" s="28">
        <v>1</v>
      </c>
      <c r="G239" s="31">
        <v>102600000</v>
      </c>
      <c r="H239" s="32">
        <v>360000</v>
      </c>
      <c r="I239" s="32" t="s">
        <v>37</v>
      </c>
      <c r="J239" s="32" t="s">
        <v>10</v>
      </c>
    </row>
    <row r="240" spans="1:10" x14ac:dyDescent="0.25">
      <c r="A240" s="26">
        <v>46042</v>
      </c>
      <c r="B240" s="27" t="s">
        <v>28</v>
      </c>
      <c r="C240" s="28" t="s">
        <v>40</v>
      </c>
      <c r="D240" s="29">
        <v>46023</v>
      </c>
      <c r="E240" s="30">
        <v>225</v>
      </c>
      <c r="F240" s="28">
        <v>15</v>
      </c>
      <c r="G240" s="31">
        <v>1215000000</v>
      </c>
      <c r="H240" s="32">
        <v>5400000</v>
      </c>
      <c r="I240" s="32" t="s">
        <v>37</v>
      </c>
      <c r="J240" s="32" t="s">
        <v>10</v>
      </c>
    </row>
    <row r="241" spans="1:10" x14ac:dyDescent="0.25">
      <c r="A241" s="15">
        <v>46043</v>
      </c>
      <c r="B241" s="16" t="s">
        <v>28</v>
      </c>
      <c r="C241" s="17" t="s">
        <v>40</v>
      </c>
      <c r="D241" s="18">
        <v>46023</v>
      </c>
      <c r="E241" s="19">
        <v>220</v>
      </c>
      <c r="F241" s="17">
        <v>10</v>
      </c>
      <c r="G241" s="20">
        <v>792000000</v>
      </c>
      <c r="H241" s="21">
        <v>3600000</v>
      </c>
      <c r="I241" s="32" t="s">
        <v>37</v>
      </c>
      <c r="J241" s="21" t="s">
        <v>10</v>
      </c>
    </row>
    <row r="242" spans="1:10" x14ac:dyDescent="0.25">
      <c r="A242" s="15">
        <v>46043</v>
      </c>
      <c r="B242" s="16" t="s">
        <v>28</v>
      </c>
      <c r="C242" s="17" t="s">
        <v>40</v>
      </c>
      <c r="D242" s="18">
        <v>46023</v>
      </c>
      <c r="E242" s="19">
        <v>220</v>
      </c>
      <c r="F242" s="17">
        <v>25</v>
      </c>
      <c r="G242" s="20">
        <v>1980000000</v>
      </c>
      <c r="H242" s="21">
        <v>9000000</v>
      </c>
      <c r="I242" s="32" t="s">
        <v>37</v>
      </c>
      <c r="J242" s="21" t="s">
        <v>10</v>
      </c>
    </row>
    <row r="243" spans="1:10" x14ac:dyDescent="0.25">
      <c r="A243" s="26">
        <v>46043</v>
      </c>
      <c r="B243" s="27" t="s">
        <v>28</v>
      </c>
      <c r="C243" s="28" t="s">
        <v>42</v>
      </c>
      <c r="D243" s="29">
        <v>46082</v>
      </c>
      <c r="E243" s="30">
        <v>300</v>
      </c>
      <c r="F243" s="28">
        <v>30</v>
      </c>
      <c r="G243" s="31">
        <v>3240000000</v>
      </c>
      <c r="H243" s="32">
        <v>10800000</v>
      </c>
      <c r="I243" s="32" t="s">
        <v>37</v>
      </c>
      <c r="J243" s="32" t="s">
        <v>10</v>
      </c>
    </row>
    <row r="244" spans="1:10" x14ac:dyDescent="0.25">
      <c r="A244" s="15">
        <v>46043</v>
      </c>
      <c r="B244" s="16" t="s">
        <v>28</v>
      </c>
      <c r="C244" s="17" t="s">
        <v>40</v>
      </c>
      <c r="D244" s="18">
        <v>46023</v>
      </c>
      <c r="E244" s="19">
        <v>210</v>
      </c>
      <c r="F244" s="17">
        <v>1</v>
      </c>
      <c r="G244" s="20">
        <v>75600000</v>
      </c>
      <c r="H244" s="21">
        <v>360000</v>
      </c>
      <c r="I244" s="32" t="s">
        <v>37</v>
      </c>
      <c r="J244" s="21" t="s">
        <v>10</v>
      </c>
    </row>
    <row r="245" spans="1:10" x14ac:dyDescent="0.25">
      <c r="A245" s="15">
        <v>46043</v>
      </c>
      <c r="B245" s="16" t="s">
        <v>28</v>
      </c>
      <c r="C245" s="17" t="s">
        <v>40</v>
      </c>
      <c r="D245" s="18">
        <v>46023</v>
      </c>
      <c r="E245" s="19">
        <v>210</v>
      </c>
      <c r="F245" s="17">
        <v>25</v>
      </c>
      <c r="G245" s="20">
        <v>1890000000</v>
      </c>
      <c r="H245" s="21">
        <v>9000000</v>
      </c>
      <c r="I245" s="32" t="s">
        <v>37</v>
      </c>
      <c r="J245" s="21" t="s">
        <v>10</v>
      </c>
    </row>
    <row r="246" spans="1:10" x14ac:dyDescent="0.25">
      <c r="A246" s="26">
        <v>46043</v>
      </c>
      <c r="B246" s="27" t="s">
        <v>28</v>
      </c>
      <c r="C246" s="28" t="s">
        <v>40</v>
      </c>
      <c r="D246" s="29">
        <v>46023</v>
      </c>
      <c r="E246" s="30">
        <v>210</v>
      </c>
      <c r="F246" s="28">
        <v>10</v>
      </c>
      <c r="G246" s="31">
        <v>756000000</v>
      </c>
      <c r="H246" s="32">
        <v>3600000</v>
      </c>
      <c r="I246" s="32" t="s">
        <v>37</v>
      </c>
      <c r="J246" s="32" t="s">
        <v>10</v>
      </c>
    </row>
    <row r="247" spans="1:10" x14ac:dyDescent="0.25">
      <c r="A247" s="26">
        <v>46044</v>
      </c>
      <c r="B247" s="27" t="s">
        <v>28</v>
      </c>
      <c r="C247" s="28" t="s">
        <v>40</v>
      </c>
      <c r="D247" s="29">
        <v>46023</v>
      </c>
      <c r="E247" s="30">
        <v>210</v>
      </c>
      <c r="F247" s="28">
        <v>2</v>
      </c>
      <c r="G247" s="31">
        <v>151200000</v>
      </c>
      <c r="H247" s="32">
        <v>720000</v>
      </c>
      <c r="I247" s="32" t="s">
        <v>37</v>
      </c>
      <c r="J247" s="32" t="s">
        <v>10</v>
      </c>
    </row>
    <row r="248" spans="1:10" x14ac:dyDescent="0.25">
      <c r="A248" s="15">
        <v>46044</v>
      </c>
      <c r="B248" s="16" t="s">
        <v>28</v>
      </c>
      <c r="C248" s="17" t="s">
        <v>40</v>
      </c>
      <c r="D248" s="18">
        <v>46023</v>
      </c>
      <c r="E248" s="19">
        <v>207</v>
      </c>
      <c r="F248" s="17">
        <v>2</v>
      </c>
      <c r="G248" s="20">
        <v>149040000</v>
      </c>
      <c r="H248" s="21">
        <v>720000</v>
      </c>
      <c r="I248" s="21" t="s">
        <v>37</v>
      </c>
      <c r="J248" s="21" t="s">
        <v>10</v>
      </c>
    </row>
    <row r="249" spans="1:10" x14ac:dyDescent="0.25">
      <c r="A249" s="26">
        <v>46044</v>
      </c>
      <c r="B249" s="27" t="s">
        <v>28</v>
      </c>
      <c r="C249" s="28" t="s">
        <v>40</v>
      </c>
      <c r="D249" s="29">
        <v>46023</v>
      </c>
      <c r="E249" s="30">
        <v>207</v>
      </c>
      <c r="F249" s="28">
        <v>2</v>
      </c>
      <c r="G249" s="31">
        <v>149040000</v>
      </c>
      <c r="H249" s="32">
        <v>720000</v>
      </c>
      <c r="I249" s="32" t="s">
        <v>37</v>
      </c>
      <c r="J249" s="32" t="s">
        <v>10</v>
      </c>
    </row>
    <row r="250" spans="1:10" x14ac:dyDescent="0.25">
      <c r="A250" s="26">
        <v>46048</v>
      </c>
      <c r="B250" s="27" t="s">
        <v>28</v>
      </c>
      <c r="C250" s="28" t="s">
        <v>49</v>
      </c>
      <c r="D250" s="29">
        <v>46296</v>
      </c>
      <c r="E250" s="30">
        <v>390</v>
      </c>
      <c r="F250" s="28">
        <v>15</v>
      </c>
      <c r="G250" s="31">
        <v>2106000000</v>
      </c>
      <c r="H250" s="32">
        <v>5400000</v>
      </c>
      <c r="I250" s="32" t="s">
        <v>37</v>
      </c>
      <c r="J250" s="32" t="s">
        <v>10</v>
      </c>
    </row>
    <row r="251" spans="1:10" x14ac:dyDescent="0.25">
      <c r="A251" s="26">
        <v>46048</v>
      </c>
      <c r="B251" s="27" t="s">
        <v>28</v>
      </c>
      <c r="C251" s="28" t="s">
        <v>40</v>
      </c>
      <c r="D251" s="29">
        <v>46023</v>
      </c>
      <c r="E251" s="30">
        <v>229</v>
      </c>
      <c r="F251" s="28">
        <v>24</v>
      </c>
      <c r="G251" s="31">
        <v>1978560000</v>
      </c>
      <c r="H251" s="32">
        <v>8640000</v>
      </c>
      <c r="I251" s="32" t="s">
        <v>37</v>
      </c>
      <c r="J251" s="32" t="s">
        <v>10</v>
      </c>
    </row>
    <row r="252" spans="1:10" x14ac:dyDescent="0.25">
      <c r="A252" s="26">
        <v>46050</v>
      </c>
      <c r="B252" s="27" t="s">
        <v>28</v>
      </c>
      <c r="C252" s="28" t="s">
        <v>42</v>
      </c>
      <c r="D252" s="29">
        <v>46082</v>
      </c>
      <c r="E252" s="30">
        <v>295</v>
      </c>
      <c r="F252" s="28">
        <v>20</v>
      </c>
      <c r="G252" s="31">
        <v>2124000000</v>
      </c>
      <c r="H252" s="32">
        <v>7200000</v>
      </c>
      <c r="I252" s="32" t="s">
        <v>37</v>
      </c>
      <c r="J252" s="32" t="s">
        <v>10</v>
      </c>
    </row>
    <row r="253" spans="1:10" x14ac:dyDescent="0.25">
      <c r="A253" s="26">
        <v>46050</v>
      </c>
      <c r="B253" s="27" t="s">
        <v>28</v>
      </c>
      <c r="C253" s="28" t="s">
        <v>40</v>
      </c>
      <c r="D253" s="29">
        <v>46023</v>
      </c>
      <c r="E253" s="30">
        <v>220</v>
      </c>
      <c r="F253" s="28">
        <v>6</v>
      </c>
      <c r="G253" s="31">
        <v>475200000</v>
      </c>
      <c r="H253" s="32">
        <v>2160000</v>
      </c>
      <c r="I253" s="32" t="s">
        <v>37</v>
      </c>
      <c r="J253" s="32" t="s">
        <v>10</v>
      </c>
    </row>
    <row r="254" spans="1:10" x14ac:dyDescent="0.25">
      <c r="A254" s="15">
        <v>46051</v>
      </c>
      <c r="B254" s="16" t="s">
        <v>28</v>
      </c>
      <c r="C254" s="17" t="s">
        <v>41</v>
      </c>
      <c r="D254" s="18">
        <v>46054</v>
      </c>
      <c r="E254" s="19">
        <v>287</v>
      </c>
      <c r="F254" s="17">
        <v>10</v>
      </c>
      <c r="G254" s="20">
        <v>1033200000</v>
      </c>
      <c r="H254" s="21">
        <v>3600000</v>
      </c>
      <c r="I254" s="32" t="s">
        <v>37</v>
      </c>
      <c r="J254" s="21" t="s">
        <v>10</v>
      </c>
    </row>
    <row r="255" spans="1:10" x14ac:dyDescent="0.25">
      <c r="A255" s="26">
        <v>46051</v>
      </c>
      <c r="B255" s="27" t="s">
        <v>28</v>
      </c>
      <c r="C255" s="28" t="s">
        <v>41</v>
      </c>
      <c r="D255" s="29">
        <v>46054</v>
      </c>
      <c r="E255" s="30">
        <v>287</v>
      </c>
      <c r="F255" s="28">
        <v>20</v>
      </c>
      <c r="G255" s="31">
        <v>2066400000</v>
      </c>
      <c r="H255" s="32">
        <v>7200000</v>
      </c>
      <c r="I255" s="32" t="s">
        <v>37</v>
      </c>
      <c r="J255" s="32" t="s">
        <v>10</v>
      </c>
    </row>
    <row r="256" spans="1:10" x14ac:dyDescent="0.25">
      <c r="A256" s="15">
        <v>46052</v>
      </c>
      <c r="B256" s="16" t="s">
        <v>28</v>
      </c>
      <c r="C256" s="17" t="s">
        <v>40</v>
      </c>
      <c r="D256" s="18">
        <v>46023</v>
      </c>
      <c r="E256" s="19">
        <v>216</v>
      </c>
      <c r="F256" s="17">
        <v>30</v>
      </c>
      <c r="G256" s="20">
        <v>2332800000</v>
      </c>
      <c r="H256" s="21">
        <v>10800000</v>
      </c>
      <c r="I256" s="32" t="s">
        <v>37</v>
      </c>
      <c r="J256" s="21" t="s">
        <v>10</v>
      </c>
    </row>
    <row r="257" spans="1:10" x14ac:dyDescent="0.25">
      <c r="A257" s="26">
        <v>46052</v>
      </c>
      <c r="B257" s="27" t="s">
        <v>28</v>
      </c>
      <c r="C257" s="28" t="s">
        <v>40</v>
      </c>
      <c r="D257" s="29">
        <v>46023</v>
      </c>
      <c r="E257" s="30">
        <v>217</v>
      </c>
      <c r="F257" s="28">
        <v>25</v>
      </c>
      <c r="G257" s="31">
        <v>1953000000</v>
      </c>
      <c r="H257" s="32">
        <v>9000000</v>
      </c>
      <c r="I257" s="32" t="s">
        <v>37</v>
      </c>
      <c r="J257" s="32" t="s">
        <v>10</v>
      </c>
    </row>
    <row r="258" spans="1:10" x14ac:dyDescent="0.25">
      <c r="A258" s="26">
        <v>46056</v>
      </c>
      <c r="B258" s="27" t="s">
        <v>28</v>
      </c>
      <c r="C258" s="28" t="s">
        <v>41</v>
      </c>
      <c r="D258" s="29">
        <v>46054</v>
      </c>
      <c r="E258" s="30">
        <v>270</v>
      </c>
      <c r="F258" s="28">
        <v>10</v>
      </c>
      <c r="G258" s="31">
        <v>972000000</v>
      </c>
      <c r="H258" s="32">
        <v>3600000</v>
      </c>
      <c r="I258" s="32" t="s">
        <v>37</v>
      </c>
      <c r="J258" s="32" t="s">
        <v>10</v>
      </c>
    </row>
    <row r="259" spans="1:10" x14ac:dyDescent="0.25">
      <c r="A259" s="26">
        <v>46057</v>
      </c>
      <c r="B259" s="27" t="s">
        <v>28</v>
      </c>
      <c r="C259" s="28" t="s">
        <v>41</v>
      </c>
      <c r="D259" s="29">
        <v>46054</v>
      </c>
      <c r="E259" s="30">
        <v>255</v>
      </c>
      <c r="F259" s="28">
        <v>40</v>
      </c>
      <c r="G259" s="31">
        <v>3672000000</v>
      </c>
      <c r="H259" s="32">
        <v>14400000</v>
      </c>
      <c r="I259" s="32" t="s">
        <v>37</v>
      </c>
      <c r="J259" s="32" t="s">
        <v>10</v>
      </c>
    </row>
    <row r="260" spans="1:10" x14ac:dyDescent="0.25">
      <c r="A260" s="26">
        <v>46057</v>
      </c>
      <c r="B260" s="27" t="s">
        <v>28</v>
      </c>
      <c r="C260" s="28" t="s">
        <v>41</v>
      </c>
      <c r="D260" s="29">
        <v>46054</v>
      </c>
      <c r="E260" s="30">
        <v>240</v>
      </c>
      <c r="F260" s="28">
        <v>1</v>
      </c>
      <c r="G260" s="31">
        <v>86400000</v>
      </c>
      <c r="H260" s="32">
        <v>360000</v>
      </c>
      <c r="I260" s="32" t="s">
        <v>37</v>
      </c>
      <c r="J260" s="32" t="s">
        <v>10</v>
      </c>
    </row>
    <row r="261" spans="1:10" x14ac:dyDescent="0.25">
      <c r="A261" s="15">
        <v>46057</v>
      </c>
      <c r="B261" s="16" t="s">
        <v>28</v>
      </c>
      <c r="C261" s="17" t="s">
        <v>41</v>
      </c>
      <c r="D261" s="18">
        <v>46054</v>
      </c>
      <c r="E261" s="19">
        <v>250</v>
      </c>
      <c r="F261" s="17">
        <v>1</v>
      </c>
      <c r="G261" s="20">
        <v>90000000</v>
      </c>
      <c r="H261" s="21">
        <v>360000</v>
      </c>
      <c r="I261" s="32" t="s">
        <v>37</v>
      </c>
      <c r="J261" s="21" t="s">
        <v>10</v>
      </c>
    </row>
    <row r="262" spans="1:10" x14ac:dyDescent="0.25">
      <c r="A262" s="15">
        <v>46057</v>
      </c>
      <c r="B262" s="16" t="s">
        <v>28</v>
      </c>
      <c r="C262" s="17" t="s">
        <v>41</v>
      </c>
      <c r="D262" s="18">
        <v>46054</v>
      </c>
      <c r="E262" s="19">
        <v>250</v>
      </c>
      <c r="F262" s="17">
        <v>29</v>
      </c>
      <c r="G262" s="20">
        <v>2610000000</v>
      </c>
      <c r="H262" s="21">
        <v>10440000</v>
      </c>
      <c r="I262" s="32" t="s">
        <v>37</v>
      </c>
      <c r="J262" s="21" t="s">
        <v>10</v>
      </c>
    </row>
    <row r="263" spans="1:10" x14ac:dyDescent="0.25">
      <c r="A263" s="15">
        <v>46063</v>
      </c>
      <c r="B263" s="16" t="s">
        <v>28</v>
      </c>
      <c r="C263" s="17" t="s">
        <v>41</v>
      </c>
      <c r="D263" s="18">
        <v>46054</v>
      </c>
      <c r="E263" s="19">
        <v>205</v>
      </c>
      <c r="F263" s="17">
        <v>5</v>
      </c>
      <c r="G263" s="20">
        <v>369000000</v>
      </c>
      <c r="H263" s="21">
        <v>1800000</v>
      </c>
      <c r="I263" s="32" t="s">
        <v>37</v>
      </c>
      <c r="J263" s="21" t="s">
        <v>10</v>
      </c>
    </row>
    <row r="264" spans="1:10" x14ac:dyDescent="0.25">
      <c r="A264" s="15">
        <v>46063</v>
      </c>
      <c r="B264" s="16" t="s">
        <v>28</v>
      </c>
      <c r="C264" s="17" t="s">
        <v>41</v>
      </c>
      <c r="D264" s="18">
        <v>46054</v>
      </c>
      <c r="E264" s="19">
        <v>205</v>
      </c>
      <c r="F264" s="17">
        <v>45</v>
      </c>
      <c r="G264" s="20">
        <v>3321000000</v>
      </c>
      <c r="H264" s="21">
        <v>16200000</v>
      </c>
      <c r="I264" s="32" t="s">
        <v>37</v>
      </c>
      <c r="J264" s="21" t="s">
        <v>10</v>
      </c>
    </row>
    <row r="265" spans="1:10" x14ac:dyDescent="0.25">
      <c r="A265" s="15">
        <v>46063</v>
      </c>
      <c r="B265" s="16" t="s">
        <v>28</v>
      </c>
      <c r="C265" s="17" t="s">
        <v>41</v>
      </c>
      <c r="D265" s="18">
        <v>46054</v>
      </c>
      <c r="E265" s="19">
        <v>205</v>
      </c>
      <c r="F265" s="17">
        <v>2</v>
      </c>
      <c r="G265" s="20">
        <v>147600000</v>
      </c>
      <c r="H265" s="21">
        <v>720000</v>
      </c>
      <c r="I265" s="32" t="s">
        <v>37</v>
      </c>
      <c r="J265" s="21" t="s">
        <v>10</v>
      </c>
    </row>
    <row r="266" spans="1:10" x14ac:dyDescent="0.25">
      <c r="A266" s="15">
        <v>46063</v>
      </c>
      <c r="B266" s="16" t="s">
        <v>28</v>
      </c>
      <c r="C266" s="17" t="s">
        <v>41</v>
      </c>
      <c r="D266" s="18">
        <v>46054</v>
      </c>
      <c r="E266" s="19">
        <v>202</v>
      </c>
      <c r="F266" s="17">
        <v>30</v>
      </c>
      <c r="G266" s="20">
        <v>2181600000</v>
      </c>
      <c r="H266" s="21">
        <v>10800000</v>
      </c>
      <c r="I266" s="32" t="s">
        <v>37</v>
      </c>
      <c r="J266" s="21" t="s">
        <v>10</v>
      </c>
    </row>
    <row r="267" spans="1:10" x14ac:dyDescent="0.25">
      <c r="A267" s="15">
        <v>46063</v>
      </c>
      <c r="B267" s="16" t="s">
        <v>28</v>
      </c>
      <c r="C267" s="17" t="s">
        <v>41</v>
      </c>
      <c r="D267" s="18">
        <v>46054</v>
      </c>
      <c r="E267" s="19">
        <v>202</v>
      </c>
      <c r="F267" s="17">
        <v>5</v>
      </c>
      <c r="G267" s="20">
        <v>363600000</v>
      </c>
      <c r="H267" s="21">
        <v>1800000</v>
      </c>
      <c r="I267" s="32" t="s">
        <v>37</v>
      </c>
      <c r="J267" s="21" t="s">
        <v>10</v>
      </c>
    </row>
    <row r="268" spans="1:10" x14ac:dyDescent="0.25">
      <c r="A268" s="26">
        <v>46063</v>
      </c>
      <c r="B268" s="27" t="s">
        <v>28</v>
      </c>
      <c r="C268" s="28" t="s">
        <v>41</v>
      </c>
      <c r="D268" s="29">
        <v>46054</v>
      </c>
      <c r="E268" s="30">
        <v>201</v>
      </c>
      <c r="F268" s="28">
        <v>30</v>
      </c>
      <c r="G268" s="31">
        <v>2170800000</v>
      </c>
      <c r="H268" s="32">
        <v>10800000</v>
      </c>
      <c r="I268" s="32" t="s">
        <v>37</v>
      </c>
      <c r="J268" s="32" t="s">
        <v>10</v>
      </c>
    </row>
    <row r="269" spans="1:10" x14ac:dyDescent="0.25">
      <c r="A269" s="15">
        <v>46063</v>
      </c>
      <c r="B269" s="16" t="s">
        <v>28</v>
      </c>
      <c r="C269" s="17" t="s">
        <v>42</v>
      </c>
      <c r="D269" s="18">
        <v>46082</v>
      </c>
      <c r="E269" s="19">
        <v>222</v>
      </c>
      <c r="F269" s="17">
        <v>40</v>
      </c>
      <c r="G269" s="20">
        <v>3196800000</v>
      </c>
      <c r="H269" s="21">
        <v>14400000</v>
      </c>
      <c r="I269" s="32" t="s">
        <v>37</v>
      </c>
      <c r="J269" s="21" t="s">
        <v>10</v>
      </c>
    </row>
    <row r="270" spans="1:10" x14ac:dyDescent="0.25">
      <c r="A270" s="26">
        <v>46063</v>
      </c>
      <c r="B270" s="27" t="s">
        <v>28</v>
      </c>
      <c r="C270" s="28" t="s">
        <v>42</v>
      </c>
      <c r="D270" s="29">
        <v>46082</v>
      </c>
      <c r="E270" s="30">
        <v>222</v>
      </c>
      <c r="F270" s="28">
        <v>10</v>
      </c>
      <c r="G270" s="31">
        <v>799200000</v>
      </c>
      <c r="H270" s="32">
        <v>3600000</v>
      </c>
      <c r="I270" s="32" t="s">
        <v>37</v>
      </c>
      <c r="J270" s="32" t="s">
        <v>10</v>
      </c>
    </row>
    <row r="271" spans="1:10" x14ac:dyDescent="0.25">
      <c r="A271" s="15">
        <v>46064</v>
      </c>
      <c r="B271" s="16" t="s">
        <v>28</v>
      </c>
      <c r="C271" s="17" t="s">
        <v>41</v>
      </c>
      <c r="D271" s="18">
        <v>46054</v>
      </c>
      <c r="E271" s="19">
        <v>180</v>
      </c>
      <c r="F271" s="17">
        <v>5</v>
      </c>
      <c r="G271" s="20">
        <v>324000000</v>
      </c>
      <c r="H271" s="21">
        <v>1800000</v>
      </c>
      <c r="I271" s="32" t="s">
        <v>37</v>
      </c>
      <c r="J271" s="21" t="s">
        <v>10</v>
      </c>
    </row>
    <row r="272" spans="1:10" x14ac:dyDescent="0.25">
      <c r="A272" s="26">
        <v>46064</v>
      </c>
      <c r="B272" s="27" t="s">
        <v>28</v>
      </c>
      <c r="C272" s="28" t="s">
        <v>42</v>
      </c>
      <c r="D272" s="29">
        <v>46082</v>
      </c>
      <c r="E272" s="30">
        <v>222</v>
      </c>
      <c r="F272" s="28">
        <v>40</v>
      </c>
      <c r="G272" s="31">
        <v>3196800000</v>
      </c>
      <c r="H272" s="32">
        <v>14400000</v>
      </c>
      <c r="I272" s="32" t="s">
        <v>37</v>
      </c>
      <c r="J272" s="32" t="s">
        <v>10</v>
      </c>
    </row>
    <row r="273" spans="1:11" x14ac:dyDescent="0.25">
      <c r="A273" s="26">
        <v>46064</v>
      </c>
      <c r="B273" s="27" t="s">
        <v>28</v>
      </c>
      <c r="C273" s="28" t="s">
        <v>42</v>
      </c>
      <c r="D273" s="29">
        <v>46082</v>
      </c>
      <c r="E273" s="30">
        <v>222</v>
      </c>
      <c r="F273" s="28">
        <v>10</v>
      </c>
      <c r="G273" s="31">
        <v>799200000</v>
      </c>
      <c r="H273" s="32">
        <v>3600000</v>
      </c>
      <c r="I273" s="32" t="s">
        <v>37</v>
      </c>
      <c r="J273" s="32" t="s">
        <v>10</v>
      </c>
    </row>
    <row r="274" spans="1:11" x14ac:dyDescent="0.25">
      <c r="A274" s="26">
        <v>46064</v>
      </c>
      <c r="B274" s="27" t="s">
        <v>28</v>
      </c>
      <c r="C274" s="28" t="s">
        <v>42</v>
      </c>
      <c r="D274" s="29">
        <v>46082</v>
      </c>
      <c r="E274" s="30">
        <v>222</v>
      </c>
      <c r="F274" s="28">
        <v>17</v>
      </c>
      <c r="G274" s="31">
        <v>1358640000</v>
      </c>
      <c r="H274" s="32">
        <v>6120000</v>
      </c>
      <c r="I274" s="32" t="s">
        <v>37</v>
      </c>
      <c r="J274" s="32" t="s">
        <v>10</v>
      </c>
    </row>
    <row r="275" spans="1:11" x14ac:dyDescent="0.25">
      <c r="A275" s="26">
        <v>46064</v>
      </c>
      <c r="B275" s="27" t="s">
        <v>28</v>
      </c>
      <c r="C275" s="28" t="s">
        <v>41</v>
      </c>
      <c r="D275" s="29">
        <v>46054</v>
      </c>
      <c r="E275" s="30">
        <v>180</v>
      </c>
      <c r="F275" s="28">
        <v>1</v>
      </c>
      <c r="G275" s="31">
        <v>64800000</v>
      </c>
      <c r="H275" s="32">
        <v>360000</v>
      </c>
      <c r="I275" s="32" t="s">
        <v>37</v>
      </c>
      <c r="J275" s="32" t="s">
        <v>10</v>
      </c>
    </row>
    <row r="276" spans="1:11" x14ac:dyDescent="0.25">
      <c r="A276" s="26">
        <v>46065</v>
      </c>
      <c r="B276" s="27" t="s">
        <v>28</v>
      </c>
      <c r="C276" s="28" t="s">
        <v>41</v>
      </c>
      <c r="D276" s="29">
        <v>46054</v>
      </c>
      <c r="E276" s="30">
        <v>193.44</v>
      </c>
      <c r="F276" s="28">
        <v>27</v>
      </c>
      <c r="G276" s="31">
        <v>1880236800</v>
      </c>
      <c r="H276" s="32">
        <v>9720000</v>
      </c>
      <c r="I276" s="32" t="s">
        <v>37</v>
      </c>
      <c r="J276" s="32" t="s">
        <v>10</v>
      </c>
      <c r="K276" s="2">
        <v>27</v>
      </c>
    </row>
    <row r="277" spans="1:11" x14ac:dyDescent="0.25">
      <c r="A277" s="15">
        <v>46065</v>
      </c>
      <c r="B277" s="16" t="s">
        <v>28</v>
      </c>
      <c r="C277" s="17" t="s">
        <v>41</v>
      </c>
      <c r="D277" s="18">
        <v>46054</v>
      </c>
      <c r="E277" s="19">
        <v>190</v>
      </c>
      <c r="F277" s="17">
        <v>5</v>
      </c>
      <c r="G277" s="20">
        <v>342000000</v>
      </c>
      <c r="H277" s="21">
        <v>1800000</v>
      </c>
      <c r="I277" s="21" t="s">
        <v>37</v>
      </c>
      <c r="J277" s="21" t="s">
        <v>10</v>
      </c>
    </row>
    <row r="278" spans="1:11" x14ac:dyDescent="0.25">
      <c r="A278" s="26">
        <v>46065</v>
      </c>
      <c r="B278" s="27" t="s">
        <v>28</v>
      </c>
      <c r="C278" s="28" t="s">
        <v>41</v>
      </c>
      <c r="D278" s="29">
        <v>46054</v>
      </c>
      <c r="E278" s="30">
        <v>190</v>
      </c>
      <c r="F278" s="28">
        <v>20</v>
      </c>
      <c r="G278" s="31">
        <v>1368000000</v>
      </c>
      <c r="H278" s="32">
        <v>7200000</v>
      </c>
      <c r="I278" s="32" t="s">
        <v>37</v>
      </c>
      <c r="J278" s="32" t="s">
        <v>10</v>
      </c>
    </row>
    <row r="279" spans="1:11" x14ac:dyDescent="0.25">
      <c r="A279" s="15">
        <v>46065</v>
      </c>
      <c r="B279" s="16" t="s">
        <v>28</v>
      </c>
      <c r="C279" s="17" t="s">
        <v>41</v>
      </c>
      <c r="D279" s="18">
        <v>46054</v>
      </c>
      <c r="E279" s="19">
        <v>190</v>
      </c>
      <c r="F279" s="17">
        <v>1</v>
      </c>
      <c r="G279" s="20">
        <v>68400000</v>
      </c>
      <c r="H279" s="21">
        <v>360000</v>
      </c>
      <c r="I279" s="21" t="s">
        <v>37</v>
      </c>
      <c r="J279" s="21" t="s">
        <v>25</v>
      </c>
    </row>
    <row r="280" spans="1:11" x14ac:dyDescent="0.25">
      <c r="A280" s="26">
        <v>46065</v>
      </c>
      <c r="B280" s="27" t="s">
        <v>28</v>
      </c>
      <c r="C280" s="28" t="s">
        <v>42</v>
      </c>
      <c r="D280" s="29">
        <v>46082</v>
      </c>
      <c r="E280" s="30">
        <v>222</v>
      </c>
      <c r="F280" s="28">
        <v>1</v>
      </c>
      <c r="G280" s="31">
        <v>79920000</v>
      </c>
      <c r="H280" s="32">
        <v>360000</v>
      </c>
      <c r="I280" s="32" t="s">
        <v>37</v>
      </c>
      <c r="J280" s="21" t="s">
        <v>25</v>
      </c>
    </row>
    <row r="281" spans="1:11" x14ac:dyDescent="0.25">
      <c r="A281" s="26">
        <v>46069</v>
      </c>
      <c r="B281" s="27" t="s">
        <v>28</v>
      </c>
      <c r="C281" s="28" t="s">
        <v>41</v>
      </c>
      <c r="D281" s="29">
        <v>46054</v>
      </c>
      <c r="E281" s="30">
        <v>145</v>
      </c>
      <c r="F281" s="28">
        <v>1</v>
      </c>
      <c r="G281" s="31">
        <v>52200000</v>
      </c>
      <c r="H281" s="32">
        <v>360000</v>
      </c>
      <c r="I281" s="32" t="s">
        <v>37</v>
      </c>
      <c r="J281" s="32" t="s">
        <v>10</v>
      </c>
    </row>
    <row r="282" spans="1:11" x14ac:dyDescent="0.25">
      <c r="A282" s="26">
        <v>46070</v>
      </c>
      <c r="B282" s="27" t="s">
        <v>28</v>
      </c>
      <c r="C282" s="28" t="s">
        <v>41</v>
      </c>
      <c r="D282" s="29">
        <v>46054</v>
      </c>
      <c r="E282" s="30">
        <v>148</v>
      </c>
      <c r="F282" s="28">
        <v>3</v>
      </c>
      <c r="G282" s="31">
        <v>159840000</v>
      </c>
      <c r="H282" s="32">
        <v>1080000</v>
      </c>
      <c r="I282" s="32" t="s">
        <v>37</v>
      </c>
      <c r="J282" s="32" t="s">
        <v>10</v>
      </c>
    </row>
    <row r="283" spans="1:11" x14ac:dyDescent="0.25">
      <c r="A283" s="26">
        <v>46070</v>
      </c>
      <c r="B283" s="27" t="s">
        <v>28</v>
      </c>
      <c r="C283" s="28" t="s">
        <v>41</v>
      </c>
      <c r="D283" s="29">
        <v>46054</v>
      </c>
      <c r="E283" s="30">
        <v>145.01</v>
      </c>
      <c r="F283" s="28">
        <v>10</v>
      </c>
      <c r="G283" s="31">
        <v>522035999.99999994</v>
      </c>
      <c r="H283" s="32">
        <v>3600000</v>
      </c>
      <c r="I283" s="32" t="s">
        <v>37</v>
      </c>
      <c r="J283" s="32" t="s">
        <v>10</v>
      </c>
    </row>
    <row r="284" spans="1:11" x14ac:dyDescent="0.25">
      <c r="A284" s="15">
        <v>46070</v>
      </c>
      <c r="B284" s="16" t="s">
        <v>28</v>
      </c>
      <c r="C284" s="17" t="s">
        <v>42</v>
      </c>
      <c r="D284" s="18">
        <v>46082</v>
      </c>
      <c r="E284" s="19">
        <v>185.01</v>
      </c>
      <c r="F284" s="17">
        <v>30</v>
      </c>
      <c r="G284" s="20">
        <v>1998108000</v>
      </c>
      <c r="H284" s="21">
        <v>10800000</v>
      </c>
      <c r="I284" s="32" t="s">
        <v>37</v>
      </c>
      <c r="J284" s="21" t="s">
        <v>10</v>
      </c>
    </row>
    <row r="285" spans="1:11" x14ac:dyDescent="0.25">
      <c r="A285" s="15">
        <v>46070</v>
      </c>
      <c r="B285" s="16" t="s">
        <v>28</v>
      </c>
      <c r="C285" s="17" t="s">
        <v>42</v>
      </c>
      <c r="D285" s="18">
        <v>46082</v>
      </c>
      <c r="E285" s="19">
        <v>185</v>
      </c>
      <c r="F285" s="17">
        <v>10</v>
      </c>
      <c r="G285" s="20">
        <v>666000000</v>
      </c>
      <c r="H285" s="21">
        <v>3600000</v>
      </c>
      <c r="I285" s="32" t="s">
        <v>37</v>
      </c>
      <c r="J285" s="21" t="s">
        <v>10</v>
      </c>
    </row>
    <row r="286" spans="1:11" x14ac:dyDescent="0.25">
      <c r="A286" s="26">
        <v>46070</v>
      </c>
      <c r="B286" s="27" t="s">
        <v>28</v>
      </c>
      <c r="C286" s="28" t="s">
        <v>41</v>
      </c>
      <c r="D286" s="29">
        <v>46054</v>
      </c>
      <c r="E286" s="30">
        <v>145.01</v>
      </c>
      <c r="F286" s="28">
        <v>6</v>
      </c>
      <c r="G286" s="31">
        <v>313221600</v>
      </c>
      <c r="H286" s="32">
        <v>2160000</v>
      </c>
      <c r="I286" s="32" t="s">
        <v>37</v>
      </c>
      <c r="J286" s="32" t="s">
        <v>10</v>
      </c>
    </row>
    <row r="287" spans="1:11" x14ac:dyDescent="0.25">
      <c r="A287" s="15">
        <v>46070</v>
      </c>
      <c r="B287" s="16" t="s">
        <v>28</v>
      </c>
      <c r="C287" s="17" t="s">
        <v>41</v>
      </c>
      <c r="D287" s="18">
        <v>46054</v>
      </c>
      <c r="E287" s="19">
        <v>160</v>
      </c>
      <c r="F287" s="17">
        <v>2</v>
      </c>
      <c r="G287" s="20">
        <v>115200000</v>
      </c>
      <c r="H287" s="21">
        <v>720000</v>
      </c>
      <c r="I287" s="32" t="s">
        <v>37</v>
      </c>
      <c r="J287" s="32" t="s">
        <v>10</v>
      </c>
    </row>
    <row r="288" spans="1:11" x14ac:dyDescent="0.25">
      <c r="A288" s="15">
        <v>46070</v>
      </c>
      <c r="B288" s="16" t="s">
        <v>28</v>
      </c>
      <c r="C288" s="17" t="s">
        <v>41</v>
      </c>
      <c r="D288" s="18">
        <v>46054</v>
      </c>
      <c r="E288" s="19">
        <v>160</v>
      </c>
      <c r="F288" s="17">
        <v>4</v>
      </c>
      <c r="G288" s="20">
        <v>230400000</v>
      </c>
      <c r="H288" s="21">
        <v>1440000</v>
      </c>
      <c r="I288" s="32" t="s">
        <v>37</v>
      </c>
      <c r="J288" s="32" t="s">
        <v>10</v>
      </c>
    </row>
    <row r="289" spans="1:10" x14ac:dyDescent="0.25">
      <c r="A289" s="15">
        <v>46070</v>
      </c>
      <c r="B289" s="16" t="s">
        <v>28</v>
      </c>
      <c r="C289" s="17" t="s">
        <v>41</v>
      </c>
      <c r="D289" s="18">
        <v>46054</v>
      </c>
      <c r="E289" s="19">
        <v>160</v>
      </c>
      <c r="F289" s="17">
        <v>4</v>
      </c>
      <c r="G289" s="20">
        <v>230400000</v>
      </c>
      <c r="H289" s="21">
        <v>1440000</v>
      </c>
      <c r="I289" s="32" t="s">
        <v>37</v>
      </c>
      <c r="J289" s="32" t="s">
        <v>10</v>
      </c>
    </row>
    <row r="290" spans="1:10" x14ac:dyDescent="0.25">
      <c r="A290" s="15">
        <v>46070</v>
      </c>
      <c r="B290" s="16" t="s">
        <v>28</v>
      </c>
      <c r="C290" s="17" t="s">
        <v>41</v>
      </c>
      <c r="D290" s="18">
        <v>46054</v>
      </c>
      <c r="E290" s="19">
        <v>160</v>
      </c>
      <c r="F290" s="17">
        <v>30</v>
      </c>
      <c r="G290" s="20">
        <v>1728000000</v>
      </c>
      <c r="H290" s="21">
        <v>10800000</v>
      </c>
      <c r="I290" s="32" t="s">
        <v>37</v>
      </c>
      <c r="J290" s="32" t="s">
        <v>10</v>
      </c>
    </row>
    <row r="291" spans="1:10" x14ac:dyDescent="0.25">
      <c r="A291" s="15">
        <v>46070</v>
      </c>
      <c r="B291" s="16" t="s">
        <v>28</v>
      </c>
      <c r="C291" s="17" t="s">
        <v>41</v>
      </c>
      <c r="D291" s="18">
        <v>46054</v>
      </c>
      <c r="E291" s="19">
        <v>160</v>
      </c>
      <c r="F291" s="17">
        <v>24</v>
      </c>
      <c r="G291" s="20">
        <v>1382400000</v>
      </c>
      <c r="H291" s="21">
        <v>8640000</v>
      </c>
      <c r="I291" s="32" t="s">
        <v>37</v>
      </c>
      <c r="J291" s="32" t="s">
        <v>10</v>
      </c>
    </row>
    <row r="292" spans="1:10" x14ac:dyDescent="0.25">
      <c r="A292" s="26">
        <v>46070</v>
      </c>
      <c r="B292" s="27" t="s">
        <v>28</v>
      </c>
      <c r="C292" s="28" t="s">
        <v>43</v>
      </c>
      <c r="D292" s="29">
        <v>46113</v>
      </c>
      <c r="E292" s="30">
        <v>335</v>
      </c>
      <c r="F292" s="28">
        <v>10</v>
      </c>
      <c r="G292" s="31">
        <v>1206000000</v>
      </c>
      <c r="H292" s="32">
        <v>3600000</v>
      </c>
      <c r="I292" s="32" t="s">
        <v>37</v>
      </c>
      <c r="J292" s="32" t="s">
        <v>10</v>
      </c>
    </row>
    <row r="293" spans="1:10" x14ac:dyDescent="0.25">
      <c r="A293" s="15">
        <v>46071</v>
      </c>
      <c r="B293" s="16" t="s">
        <v>28</v>
      </c>
      <c r="C293" s="17" t="s">
        <v>43</v>
      </c>
      <c r="D293" s="18">
        <v>46113</v>
      </c>
      <c r="E293" s="19">
        <v>250</v>
      </c>
      <c r="F293" s="17">
        <v>10</v>
      </c>
      <c r="G293" s="20">
        <v>900000000</v>
      </c>
      <c r="H293" s="21">
        <v>3600000</v>
      </c>
      <c r="I293" s="32" t="s">
        <v>37</v>
      </c>
      <c r="J293" s="21" t="s">
        <v>10</v>
      </c>
    </row>
    <row r="294" spans="1:10" x14ac:dyDescent="0.25">
      <c r="A294" s="26">
        <v>46071</v>
      </c>
      <c r="B294" s="27" t="s">
        <v>28</v>
      </c>
      <c r="C294" s="28" t="s">
        <v>43</v>
      </c>
      <c r="D294" s="29">
        <v>46113</v>
      </c>
      <c r="E294" s="30">
        <v>220</v>
      </c>
      <c r="F294" s="28">
        <v>50</v>
      </c>
      <c r="G294" s="31">
        <v>3960000000</v>
      </c>
      <c r="H294" s="32">
        <v>18000000</v>
      </c>
      <c r="I294" s="32" t="s">
        <v>37</v>
      </c>
      <c r="J294" s="32" t="s">
        <v>10</v>
      </c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7C49-E926-405F-B7A1-E2CB484C1169}">
  <dimension ref="E5:F6"/>
  <sheetViews>
    <sheetView workbookViewId="0">
      <selection activeCell="E5" sqref="E5"/>
    </sheetView>
  </sheetViews>
  <sheetFormatPr baseColWidth="10" defaultRowHeight="15" x14ac:dyDescent="0.25"/>
  <sheetData>
    <row r="5" spans="5:6" x14ac:dyDescent="0.25">
      <c r="E5">
        <v>230486.98</v>
      </c>
      <c r="F5">
        <v>56.27</v>
      </c>
    </row>
    <row r="6" spans="5:6" x14ac:dyDescent="0.25">
      <c r="E6">
        <f>+E5/F5</f>
        <v>4096.0899235827264</v>
      </c>
      <c r="F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4E088-2788-4BEF-9E69-13C03DF40761}">
  <dimension ref="A1:E28"/>
  <sheetViews>
    <sheetView showGridLines="0" zoomScale="145" zoomScaleNormal="145" workbookViewId="0">
      <pane ySplit="2" topLeftCell="A3" activePane="bottomLeft" state="frozen"/>
      <selection pane="bottomLeft" activeCell="C18" sqref="C18"/>
    </sheetView>
  </sheetViews>
  <sheetFormatPr baseColWidth="10" defaultColWidth="0" defaultRowHeight="15" x14ac:dyDescent="0.25"/>
  <cols>
    <col min="1" max="1" width="1.5703125" customWidth="1"/>
    <col min="2" max="2" width="9.5703125" bestFit="1" customWidth="1"/>
    <col min="3" max="3" width="13.42578125" bestFit="1" customWidth="1"/>
    <col min="4" max="4" width="10.5703125" bestFit="1" customWidth="1"/>
    <col min="5" max="5" width="1.5703125" customWidth="1"/>
    <col min="6" max="16384" width="11.42578125" hidden="1"/>
  </cols>
  <sheetData>
    <row r="1" spans="2:4" x14ac:dyDescent="0.25">
      <c r="B1" s="33" t="s">
        <v>9</v>
      </c>
      <c r="C1" s="33"/>
      <c r="D1" s="33"/>
    </row>
    <row r="2" spans="2:4" x14ac:dyDescent="0.25">
      <c r="B2" s="4" t="s">
        <v>6</v>
      </c>
      <c r="C2" s="5" t="s">
        <v>7</v>
      </c>
      <c r="D2" s="13" t="s">
        <v>8</v>
      </c>
    </row>
    <row r="3" spans="2:4" x14ac:dyDescent="0.25">
      <c r="B3" s="9">
        <v>45658</v>
      </c>
      <c r="C3" s="7">
        <v>4830000</v>
      </c>
      <c r="D3" s="8">
        <f t="shared" ref="D3:D14" si="0">+C3/1000000</f>
        <v>4.83</v>
      </c>
    </row>
    <row r="4" spans="2:4" x14ac:dyDescent="0.25">
      <c r="B4" s="9">
        <f>+EDATE(B3,1)</f>
        <v>45689</v>
      </c>
      <c r="C4" s="7">
        <v>132120000</v>
      </c>
      <c r="D4" s="8">
        <f t="shared" si="0"/>
        <v>132.12</v>
      </c>
    </row>
    <row r="5" spans="2:4" x14ac:dyDescent="0.25">
      <c r="B5" s="9">
        <f t="shared" ref="B5:B14" si="1">+EDATE(B4,1)</f>
        <v>45717</v>
      </c>
      <c r="C5" s="7">
        <v>18720000</v>
      </c>
      <c r="D5" s="8">
        <f t="shared" si="0"/>
        <v>18.72</v>
      </c>
    </row>
    <row r="6" spans="2:4" x14ac:dyDescent="0.25">
      <c r="B6" s="9">
        <f t="shared" si="1"/>
        <v>45748</v>
      </c>
      <c r="C6" s="7">
        <v>61920000</v>
      </c>
      <c r="D6" s="8">
        <f t="shared" si="0"/>
        <v>61.92</v>
      </c>
    </row>
    <row r="7" spans="2:4" x14ac:dyDescent="0.25">
      <c r="B7" s="9">
        <f t="shared" si="1"/>
        <v>45778</v>
      </c>
      <c r="C7" s="7">
        <v>64080000</v>
      </c>
      <c r="D7" s="8">
        <f t="shared" si="0"/>
        <v>64.08</v>
      </c>
    </row>
    <row r="8" spans="2:4" x14ac:dyDescent="0.25">
      <c r="B8" s="9">
        <f t="shared" si="1"/>
        <v>45809</v>
      </c>
      <c r="C8" s="7">
        <v>51480000</v>
      </c>
      <c r="D8" s="8">
        <f>+C8/1000000</f>
        <v>51.48</v>
      </c>
    </row>
    <row r="9" spans="2:4" x14ac:dyDescent="0.25">
      <c r="B9" s="9">
        <f t="shared" si="1"/>
        <v>45839</v>
      </c>
      <c r="C9" s="7">
        <v>41030000</v>
      </c>
      <c r="D9" s="8">
        <f t="shared" si="0"/>
        <v>41.03</v>
      </c>
    </row>
    <row r="10" spans="2:4" x14ac:dyDescent="0.25">
      <c r="B10" s="9">
        <f t="shared" si="1"/>
        <v>45870</v>
      </c>
      <c r="C10" s="7">
        <v>58680000</v>
      </c>
      <c r="D10" s="8">
        <f t="shared" si="0"/>
        <v>58.68</v>
      </c>
    </row>
    <row r="11" spans="2:4" x14ac:dyDescent="0.25">
      <c r="B11" s="9">
        <f t="shared" si="1"/>
        <v>45901</v>
      </c>
      <c r="C11" s="7">
        <v>80430000</v>
      </c>
      <c r="D11" s="8">
        <f t="shared" si="0"/>
        <v>80.430000000000007</v>
      </c>
    </row>
    <row r="12" spans="2:4" x14ac:dyDescent="0.25">
      <c r="B12" s="9">
        <f t="shared" si="1"/>
        <v>45931</v>
      </c>
      <c r="C12" s="7">
        <v>69840000</v>
      </c>
      <c r="D12" s="8">
        <f t="shared" si="0"/>
        <v>69.84</v>
      </c>
    </row>
    <row r="13" spans="2:4" x14ac:dyDescent="0.25">
      <c r="B13" s="9">
        <f t="shared" si="1"/>
        <v>45962</v>
      </c>
      <c r="C13" s="7">
        <v>27720000</v>
      </c>
      <c r="D13" s="8">
        <f t="shared" si="0"/>
        <v>27.72</v>
      </c>
    </row>
    <row r="14" spans="2:4" x14ac:dyDescent="0.25">
      <c r="B14" s="9">
        <f t="shared" si="1"/>
        <v>45992</v>
      </c>
      <c r="C14" s="7">
        <v>125280000</v>
      </c>
      <c r="D14" s="8">
        <f t="shared" si="0"/>
        <v>125.28</v>
      </c>
    </row>
    <row r="15" spans="2:4" x14ac:dyDescent="0.25">
      <c r="B15" s="5" t="str">
        <f>+_xlfn.CONCAT("Total ",YEAR(B3))</f>
        <v>Total 2025</v>
      </c>
      <c r="C15" s="10">
        <f>+SUM(C3:C14)</f>
        <v>736130000</v>
      </c>
      <c r="D15" s="14">
        <f>+SUM(D3:D14)</f>
        <v>736.13000000000011</v>
      </c>
    </row>
    <row r="16" spans="2:4" x14ac:dyDescent="0.25">
      <c r="B16" s="9">
        <v>46023</v>
      </c>
      <c r="C16" s="7">
        <v>147600000</v>
      </c>
      <c r="D16" s="8">
        <f t="shared" ref="D16:D20" si="2">+C16/1000000</f>
        <v>147.6</v>
      </c>
    </row>
    <row r="17" spans="2:4" x14ac:dyDescent="0.25">
      <c r="B17" s="9">
        <f>+EDATE(B16,1)</f>
        <v>46054</v>
      </c>
      <c r="C17" s="7">
        <v>204840000</v>
      </c>
      <c r="D17" s="8">
        <f t="shared" si="2"/>
        <v>204.84</v>
      </c>
    </row>
    <row r="18" spans="2:4" x14ac:dyDescent="0.25">
      <c r="B18" s="9">
        <f t="shared" ref="B18:B27" si="3">+EDATE(B17,1)</f>
        <v>46082</v>
      </c>
      <c r="C18" s="7"/>
      <c r="D18" s="8">
        <f t="shared" si="2"/>
        <v>0</v>
      </c>
    </row>
    <row r="19" spans="2:4" x14ac:dyDescent="0.25">
      <c r="B19" s="9">
        <f t="shared" si="3"/>
        <v>46113</v>
      </c>
      <c r="C19" s="7"/>
      <c r="D19" s="8">
        <f t="shared" si="2"/>
        <v>0</v>
      </c>
    </row>
    <row r="20" spans="2:4" x14ac:dyDescent="0.25">
      <c r="B20" s="9">
        <f t="shared" si="3"/>
        <v>46143</v>
      </c>
      <c r="C20" s="7"/>
      <c r="D20" s="8">
        <f t="shared" si="2"/>
        <v>0</v>
      </c>
    </row>
    <row r="21" spans="2:4" x14ac:dyDescent="0.25">
      <c r="B21" s="9">
        <f t="shared" si="3"/>
        <v>46174</v>
      </c>
      <c r="C21" s="7"/>
      <c r="D21" s="8">
        <f>+C21/1000000</f>
        <v>0</v>
      </c>
    </row>
    <row r="22" spans="2:4" x14ac:dyDescent="0.25">
      <c r="B22" s="9">
        <f t="shared" si="3"/>
        <v>46204</v>
      </c>
      <c r="C22" s="7"/>
      <c r="D22" s="8">
        <f t="shared" ref="D22:D27" si="4">+C22/1000000</f>
        <v>0</v>
      </c>
    </row>
    <row r="23" spans="2:4" x14ac:dyDescent="0.25">
      <c r="B23" s="9">
        <f t="shared" si="3"/>
        <v>46235</v>
      </c>
      <c r="C23" s="7"/>
      <c r="D23" s="8">
        <f t="shared" si="4"/>
        <v>0</v>
      </c>
    </row>
    <row r="24" spans="2:4" x14ac:dyDescent="0.25">
      <c r="B24" s="9">
        <f t="shared" si="3"/>
        <v>46266</v>
      </c>
      <c r="C24" s="7"/>
      <c r="D24" s="8">
        <f t="shared" si="4"/>
        <v>0</v>
      </c>
    </row>
    <row r="25" spans="2:4" x14ac:dyDescent="0.25">
      <c r="B25" s="9">
        <f t="shared" si="3"/>
        <v>46296</v>
      </c>
      <c r="C25" s="7"/>
      <c r="D25" s="8">
        <f t="shared" si="4"/>
        <v>0</v>
      </c>
    </row>
    <row r="26" spans="2:4" x14ac:dyDescent="0.25">
      <c r="B26" s="9">
        <f t="shared" si="3"/>
        <v>46327</v>
      </c>
      <c r="C26" s="7"/>
      <c r="D26" s="8">
        <f t="shared" si="4"/>
        <v>0</v>
      </c>
    </row>
    <row r="27" spans="2:4" x14ac:dyDescent="0.25">
      <c r="B27" s="9">
        <f t="shared" si="3"/>
        <v>46357</v>
      </c>
      <c r="C27" s="7"/>
      <c r="D27" s="8">
        <f t="shared" si="4"/>
        <v>0</v>
      </c>
    </row>
    <row r="28" spans="2:4" x14ac:dyDescent="0.25">
      <c r="B28" s="5" t="str">
        <f>+_xlfn.CONCAT("Total ",YEAR(B16))</f>
        <v>Total 2026</v>
      </c>
      <c r="C28" s="10">
        <f>+SUM(C16:C27)</f>
        <v>352440000</v>
      </c>
      <c r="D28" s="14">
        <f>+SUM(D16:D27)</f>
        <v>352.44</v>
      </c>
    </row>
  </sheetData>
  <mergeCells count="1">
    <mergeCell ref="B1:D1"/>
  </mergeCells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FCDF2566B3FF342A26CA12F0529358D" ma:contentTypeVersion="18" ma:contentTypeDescription="Crear nuevo documento." ma:contentTypeScope="" ma:versionID="3f4c42a16b78b152d1720b28536737d0">
  <xsd:schema xmlns:xsd="http://www.w3.org/2001/XMLSchema" xmlns:xs="http://www.w3.org/2001/XMLSchema" xmlns:p="http://schemas.microsoft.com/office/2006/metadata/properties" xmlns:ns1="http://schemas.microsoft.com/sharepoint/v3" xmlns:ns2="df062920-4020-40dc-9015-c52fc1b6f476" xmlns:ns3="72e9f21c-8664-4aad-aa68-4f5e72fc5d76" targetNamespace="http://schemas.microsoft.com/office/2006/metadata/properties" ma:root="true" ma:fieldsID="2ef8d5f0279a041615cce69704fa4e54" ns1:_="" ns2:_="" ns3:_="">
    <xsd:import namespace="http://schemas.microsoft.com/sharepoint/v3"/>
    <xsd:import namespace="df062920-4020-40dc-9015-c52fc1b6f476"/>
    <xsd:import namespace="72e9f21c-8664-4aad-aa68-4f5e72fc5d7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  <xsd:element ref="ns1:_ip_UnifiedCompliancePolicyProperties" minOccurs="0"/>
                <xsd:element ref="ns1:_ip_UnifiedCompliancePolicyUIAc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062920-4020-40dc-9015-c52fc1b6f4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3b40abcd-3e59-4edb-908f-3fa5816ce1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9f21c-8664-4aad-aa68-4f5e72fc5d7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ebb83a52-a399-4860-a231-e16657fbdcb9}" ma:internalName="TaxCatchAll" ma:showField="CatchAllData" ma:web="72e9f21c-8664-4aad-aa68-4f5e72fc5d7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f062920-4020-40dc-9015-c52fc1b6f476">
      <Terms xmlns="http://schemas.microsoft.com/office/infopath/2007/PartnerControls"/>
    </lcf76f155ced4ddcb4097134ff3c332f>
    <TaxCatchAll xmlns="72e9f21c-8664-4aad-aa68-4f5e72fc5d76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3E7244A3-5556-4455-8231-85DEE5EC0F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B9E0C56-1762-4151-8930-626235C683F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df062920-4020-40dc-9015-c52fc1b6f476"/>
    <ds:schemaRef ds:uri="72e9f21c-8664-4aad-aa68-4f5e72fc5d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80D0D0-C712-4B3E-8FD9-C471C8D147BD}">
  <ds:schemaRefs>
    <ds:schemaRef ds:uri="http://www.w3.org/XML/1998/namespace"/>
    <ds:schemaRef ds:uri="http://purl.org/dc/terms/"/>
    <ds:schemaRef ds:uri="72e9f21c-8664-4aad-aa68-4f5e72fc5d76"/>
    <ds:schemaRef ds:uri="http://schemas.openxmlformats.org/package/2006/metadata/core-properties"/>
    <ds:schemaRef ds:uri="http://schemas.microsoft.com/office/2006/documentManagement/types"/>
    <ds:schemaRef ds:uri="df062920-4020-40dc-9015-c52fc1b6f476"/>
    <ds:schemaRef ds:uri="http://purl.org/dc/dcmitype/"/>
    <ds:schemaRef ds:uri="http://purl.org/dc/elements/1.1/"/>
    <ds:schemaRef ds:uri="http://schemas.microsoft.com/office/infopath/2007/PartnerControls"/>
    <ds:schemaRef ds:uri="http://schemas.microsoft.com/sharepoint/v3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Negociaciones</vt:lpstr>
      <vt:lpstr>Hoja1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JHON FERNANDO TASCON VELASCO</cp:lastModifiedBy>
  <dcterms:created xsi:type="dcterms:W3CDTF">2021-10-05T21:45:32Z</dcterms:created>
  <dcterms:modified xsi:type="dcterms:W3CDTF">2026-03-02T01:14:25Z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0x010100BFCDF2566B3FF342A26CA12F0529358D</vt:lpwstr>
  </property>
  <property fmtid="{D5CDD505-2E9C-101B-9397-08002B2CF9AE}" pid="3" name="MediaServiceImageTags">
    <vt:lpwstr/>
  </property>
</Properties>
</file>